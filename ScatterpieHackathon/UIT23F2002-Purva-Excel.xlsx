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E:\Gryphon\Power_BI\"/>
    </mc:Choice>
  </mc:AlternateContent>
  <xr:revisionPtr revIDLastSave="0" documentId="13_ncr:1_{97506B66-E9E1-4C32-B533-4760D28E9F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el" sheetId="1" r:id="rId1"/>
    <sheet name="Q&amp;A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C27" i="1"/>
  <c r="J25" i="1"/>
  <c r="J10" i="1"/>
  <c r="J22" i="1"/>
  <c r="J31" i="1"/>
  <c r="J7" i="1"/>
  <c r="J18" i="1"/>
  <c r="J13" i="1"/>
  <c r="J11" i="1"/>
  <c r="J3" i="1"/>
  <c r="J4" i="1"/>
  <c r="J6" i="1"/>
  <c r="J24" i="1"/>
  <c r="J20" i="1"/>
  <c r="J21" i="1"/>
  <c r="J29" i="1"/>
  <c r="J28" i="1"/>
  <c r="J12" i="1"/>
  <c r="J8" i="1"/>
  <c r="J16" i="1"/>
  <c r="J17" i="1"/>
  <c r="J9" i="1"/>
  <c r="J15" i="1"/>
  <c r="J2" i="1"/>
  <c r="J19" i="1"/>
  <c r="J30" i="1"/>
  <c r="J5" i="1"/>
  <c r="J23" i="1"/>
  <c r="J14" i="1"/>
  <c r="J26" i="1"/>
  <c r="J27" i="1"/>
  <c r="O3" i="1" a="1"/>
  <c r="O3" i="1" s="1"/>
  <c r="P3" i="1"/>
  <c r="C25" i="1"/>
  <c r="C10" i="1"/>
  <c r="C22" i="1"/>
  <c r="C31" i="1"/>
  <c r="C7" i="1"/>
  <c r="C18" i="1"/>
  <c r="C13" i="1"/>
  <c r="C11" i="1"/>
  <c r="C3" i="1"/>
  <c r="C4" i="1"/>
  <c r="C6" i="1"/>
  <c r="C24" i="1"/>
  <c r="C20" i="1"/>
  <c r="C21" i="1"/>
  <c r="C29" i="1"/>
  <c r="C28" i="1"/>
  <c r="C12" i="1"/>
  <c r="C8" i="1"/>
  <c r="C16" i="1"/>
  <c r="C17" i="1"/>
  <c r="C9" i="1"/>
  <c r="C15" i="1"/>
  <c r="C2" i="1"/>
  <c r="C19" i="1"/>
  <c r="C30" i="1"/>
  <c r="C5" i="1"/>
  <c r="C23" i="1"/>
  <c r="C14" i="1"/>
  <c r="C26" i="1"/>
  <c r="O14" i="1"/>
  <c r="O13" i="1"/>
  <c r="O12" i="1"/>
  <c r="O11" i="1"/>
  <c r="O10" i="1"/>
  <c r="O9" i="1"/>
  <c r="O8" i="1"/>
  <c r="O7" i="1"/>
  <c r="O6" i="1"/>
  <c r="O5" i="1"/>
  <c r="O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<sst xmlns="http://schemas.openxmlformats.org/spreadsheetml/2006/main" count="233" uniqueCount="101">
  <si>
    <t>Country</t>
  </si>
  <si>
    <t>Region</t>
  </si>
  <si>
    <t>Country_Region</t>
  </si>
  <si>
    <t>Client_Name</t>
  </si>
  <si>
    <t>Product-Name_Product-ID</t>
  </si>
  <si>
    <t>Product-Name</t>
  </si>
  <si>
    <t>Product-ID</t>
  </si>
  <si>
    <t>Total_Enrollments</t>
  </si>
  <si>
    <t>Subsidiary_Enrollment</t>
  </si>
  <si>
    <t>Sales</t>
  </si>
  <si>
    <t>UK</t>
  </si>
  <si>
    <t>Central</t>
  </si>
  <si>
    <t>National Grid</t>
  </si>
  <si>
    <t>LogiChain_P012</t>
  </si>
  <si>
    <t>LogiChain</t>
  </si>
  <si>
    <t>P012</t>
  </si>
  <si>
    <t>Q1. Combine Column A and Column B into Column C using a formula with the delimiter "-" . (Example: UK-Central)</t>
  </si>
  <si>
    <t>East</t>
  </si>
  <si>
    <t>AstraZeneca</t>
  </si>
  <si>
    <t>EduLearn_P009</t>
  </si>
  <si>
    <t>P009</t>
  </si>
  <si>
    <t>Q2. Separate the data from Column E and insert it into Columns F and G respectively. (without using any fromula)</t>
  </si>
  <si>
    <t>South</t>
  </si>
  <si>
    <t>Barclays</t>
  </si>
  <si>
    <t>HealthFirst_P014</t>
  </si>
  <si>
    <t>HealthFirst</t>
  </si>
  <si>
    <t>Q3. Find the count of unique product names using a formula.</t>
  </si>
  <si>
    <t>BT Group</t>
  </si>
  <si>
    <t>Q4. Add a column to calculate the Subsidiary Enrollment % of the Total Enrollments for each row. Format it as a percentage with 2 decimal places.</t>
  </si>
  <si>
    <t>North</t>
  </si>
  <si>
    <t>AI Predictor_P004</t>
  </si>
  <si>
    <t>Sky Group</t>
  </si>
  <si>
    <t>MediCare+_P008</t>
  </si>
  <si>
    <t>West</t>
  </si>
  <si>
    <t>Rolls-Royce</t>
  </si>
  <si>
    <t>AgriSmart_P011</t>
  </si>
  <si>
    <t>Cloud Mapper_P005</t>
  </si>
  <si>
    <r>
      <rPr>
        <sz val="11"/>
        <color rgb="FF000000"/>
        <rFont val="Aptos Narrow"/>
      </rPr>
      <t xml:space="preserve">      Add a column to categorize </t>
    </r>
    <r>
      <rPr>
        <b/>
        <sz val="11"/>
        <color rgb="FF000000"/>
        <rFont val="Aptos Narrow"/>
      </rPr>
      <t>Sales</t>
    </r>
    <r>
      <rPr>
        <sz val="11"/>
        <color rgb="FF000000"/>
        <rFont val="Aptos Narrow"/>
      </rPr>
      <t xml:space="preserve"> into:</t>
    </r>
  </si>
  <si>
    <t>Data Vision_P002</t>
  </si>
  <si>
    <t xml:space="preserve">     - High if Sales ≥ 80,000</t>
  </si>
  <si>
    <t>Sainsbury’s</t>
  </si>
  <si>
    <t xml:space="preserve">     - Medium if 40,000 ≤ Sales &lt; 80,000</t>
  </si>
  <si>
    <t>HSBC Holdings</t>
  </si>
  <si>
    <t xml:space="preserve">     - Low if Sales &lt; 40,000"	</t>
  </si>
  <si>
    <t>Insight Pro_P003</t>
  </si>
  <si>
    <t>HealthFirst~P014</t>
  </si>
  <si>
    <t>BP</t>
  </si>
  <si>
    <t>Secure Net_P006</t>
  </si>
  <si>
    <t>Analytics Suite_P001</t>
  </si>
  <si>
    <t>Tesco</t>
  </si>
  <si>
    <t>Bupa</t>
  </si>
  <si>
    <t>Marks &amp; Spencer</t>
  </si>
  <si>
    <t>Unilever</t>
  </si>
  <si>
    <t>Next</t>
  </si>
  <si>
    <t>GlaxoSmithKline (GSK)</t>
  </si>
  <si>
    <t>AutoDrive~P015</t>
  </si>
  <si>
    <t>Vodafone</t>
  </si>
  <si>
    <t>AutoDrive_P015</t>
  </si>
  <si>
    <t>EduLearn</t>
  </si>
  <si>
    <t>P014</t>
  </si>
  <si>
    <t>AI Predictor</t>
  </si>
  <si>
    <t>P004</t>
  </si>
  <si>
    <t>MediCare+</t>
  </si>
  <si>
    <t>P008</t>
  </si>
  <si>
    <t>AgriSmart</t>
  </si>
  <si>
    <t>P011</t>
  </si>
  <si>
    <t>Cloud Mapper</t>
  </si>
  <si>
    <t>P005</t>
  </si>
  <si>
    <t>Data Vision</t>
  </si>
  <si>
    <t>P002</t>
  </si>
  <si>
    <t>Insight Pro</t>
  </si>
  <si>
    <t>P003</t>
  </si>
  <si>
    <t>Secure Net</t>
  </si>
  <si>
    <t>P006</t>
  </si>
  <si>
    <t>Analytics Suite</t>
  </si>
  <si>
    <t>P001</t>
  </si>
  <si>
    <t>AutoDrive</t>
  </si>
  <si>
    <t>P015</t>
  </si>
  <si>
    <t>Subsidiary_%</t>
  </si>
  <si>
    <t>ANS =TEXTJOIN("-",TRUE,A2,B2)</t>
  </si>
  <si>
    <t>SELECT COLUMN E ---&gt; Data ---&gt; Text to Columns. Then Delimited --&gt; Next. Then Other:  _ (first time) then ~ (next time).---&gt; Next ---&gt; Destination (F2) --&gt; Finish.</t>
  </si>
  <si>
    <t>ANS=COUNTA(UNIQUE(F2:F31))</t>
  </si>
  <si>
    <t>Unique Product</t>
  </si>
  <si>
    <t>Unique Product  Name</t>
  </si>
  <si>
    <t>ANS ---&gt; ADD COLUMN (Subsidiary_%) ---&gt; Formula = I2/h2 ---&gt; Drag it formula is applied to all cell or drag cells.</t>
  </si>
  <si>
    <t>Row Labels</t>
  </si>
  <si>
    <t>Grand Total</t>
  </si>
  <si>
    <t>Sum of Total_Enrollments</t>
  </si>
  <si>
    <t>Test Table</t>
  </si>
  <si>
    <t>Underperforming_Flag</t>
  </si>
  <si>
    <t>Q5. Insert a Pivot Table that displays Total Enrollments by Product_Name. Identify which product has the highest enrollments ?. Copy the resulting  table to the current worksheet and name it “Test Table”.</t>
  </si>
  <si>
    <t>Q6. Highlight all rows where Sales exceed 100,000 and sort all highlighted rows to appear first.</t>
  </si>
  <si>
    <t>Q7. Add a column to Identify underperforming products by writing a formula to flag products where Subsidiary_Enrollment &lt; 40% of Total Enrollments.</t>
  </si>
  <si>
    <t>Q8. Dynamic Sales Category</t>
  </si>
  <si>
    <t>Q.9. Create a column chart for the “Test Table” and add appropriate axis labels and data labels</t>
  </si>
  <si>
    <t>Sales_category</t>
  </si>
  <si>
    <t>New columns ---&gt; Sales_Category  ---&gt; Formula = IF(L2&gt;=80000,"High", IF(L2&gt;=40000, "Medium", "Low"))</t>
  </si>
  <si>
    <t>ANS= Already Created along with Question 5</t>
  </si>
  <si>
    <t>Select Entire table ---&gt; Insert ---&gt; PivotChart () ---&gt; Rows (Product_Name) ---&gt; Column (Total_Enrollments (Sum))</t>
  </si>
  <si>
    <t>Select Entire table ---&gt; Conditional Formatting ---&gt; New Rule ---&gt; Formula =$L2&gt;100000 (Yellow color) ---&gt; table ---&gt; Sort ---&gt; Largest to Smallest</t>
  </si>
  <si>
    <t>Insert New Columns ---&gt; Formula = IF(I2/H2&lt;0.4,"Yes","No")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</si>
</sst>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Aptos Narrow"/>
      <scheme val="minor"/>
    </font>
    <font>
      <sz val="11"/>
      <name val="Aptos Narrow"/>
    </font>
    <font>
      <sz val="11"/>
      <name val="Play"/>
    </font>
    <font>
      <sz val="11"/>
      <color rgb="FF000000"/>
      <name val="Aptos Narrow"/>
    </font>
    <font>
      <sz val="11"/>
      <name val="Aptos Narrow"/>
    </font>
    <font>
      <b/>
      <sz val="11"/>
      <color rgb="FF000000"/>
      <name val="Aptos Narrow"/>
    </font>
    <font>
      <sz val="11"/>
      <name val="Aptos Narrow"/>
      <family val="2"/>
      <scheme val="minor"/>
    </font>
    <font>
      <sz val="11"/>
      <name val="Aptos Narrow"/>
      <family val="2"/>
    </font>
    <font>
      <b/>
      <sz val="11"/>
      <color rgb="FF000000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DA33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2" borderId="1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4" fillId="0" borderId="5" xfId="0" applyFont="1" applyBorder="1"/>
    <xf numFmtId="0" fontId="4" fillId="0" borderId="6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0" fillId="0" borderId="1" xfId="0" applyFont="1" applyBorder="1" applyAlignment="1">
      <alignment horizontal="left" vertical="center"/>
    </xf>
    <xf numFmtId="10" fontId="11" fillId="0" borderId="1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10" fillId="3" borderId="3" xfId="0" applyFont="1" applyFill="1" applyBorder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pivotButton="1" applyFont="1"/>
    <xf numFmtId="0" fontId="10" fillId="0" borderId="0" xfId="0" applyFont="1" applyAlignment="1">
      <alignment horizontal="left"/>
    </xf>
    <xf numFmtId="10" fontId="10" fillId="0" borderId="0" xfId="0" applyNumberFormat="1" applyFont="1"/>
    <xf numFmtId="0" fontId="10" fillId="0" borderId="3" xfId="0" applyFont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10" fontId="11" fillId="5" borderId="1" xfId="0" applyNumberFormat="1" applyFont="1" applyFill="1" applyBorder="1" applyAlignment="1">
      <alignment horizontal="center" vertical="center"/>
    </xf>
    <xf numFmtId="10" fontId="11" fillId="7" borderId="1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/>
    </xf>
  </cellXfs>
  <cellStyles count="1">
    <cellStyle name="Normal" xfId="0" builtinId="0"/>
  </cellStyles>
  <dxfs count="24"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DA3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bg1"/>
                </a:solidFill>
              </a:rPr>
              <a:t>Total Product Level Enrollment</a:t>
            </a:r>
          </a:p>
        </c:rich>
      </c:tx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5649798058220895E-2"/>
          <c:y val="0.10451776393300112"/>
          <c:w val="0.90435020194177906"/>
          <c:h val="0.64515600157088226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HealthFirst</c:v>
              </c:pt>
              <c:pt idx="1">
                <c:v>Cloud Mapper</c:v>
              </c:pt>
              <c:pt idx="2">
                <c:v>AgriSmart</c:v>
              </c:pt>
              <c:pt idx="3">
                <c:v>AI Predictor</c:v>
              </c:pt>
              <c:pt idx="4">
                <c:v>Analytics Suite</c:v>
              </c:pt>
              <c:pt idx="5">
                <c:v>LogiChain</c:v>
              </c:pt>
              <c:pt idx="6">
                <c:v>AutoDrive</c:v>
              </c:pt>
              <c:pt idx="7">
                <c:v>MediCare+</c:v>
              </c:pt>
              <c:pt idx="8">
                <c:v>Secure Net</c:v>
              </c:pt>
              <c:pt idx="9">
                <c:v>Data Vision</c:v>
              </c:pt>
              <c:pt idx="10">
                <c:v>EduLearn</c:v>
              </c:pt>
              <c:pt idx="11">
                <c:v>Insight Pro</c:v>
              </c:pt>
            </c:strLit>
          </c:cat>
          <c:val>
            <c:numLit>
              <c:formatCode>General</c:formatCode>
              <c:ptCount val="12"/>
              <c:pt idx="0">
                <c:v>947</c:v>
              </c:pt>
              <c:pt idx="1">
                <c:v>854</c:v>
              </c:pt>
              <c:pt idx="2">
                <c:v>838</c:v>
              </c:pt>
              <c:pt idx="3">
                <c:v>834</c:v>
              </c:pt>
              <c:pt idx="4">
                <c:v>741</c:v>
              </c:pt>
              <c:pt idx="5">
                <c:v>697</c:v>
              </c:pt>
              <c:pt idx="6">
                <c:v>641</c:v>
              </c:pt>
              <c:pt idx="7">
                <c:v>560</c:v>
              </c:pt>
              <c:pt idx="8">
                <c:v>527</c:v>
              </c:pt>
              <c:pt idx="9">
                <c:v>446</c:v>
              </c:pt>
              <c:pt idx="10">
                <c:v>316</c:v>
              </c:pt>
              <c:pt idx="11">
                <c:v>264</c:v>
              </c:pt>
            </c:numLit>
          </c:val>
          <c:extLst>
            <c:ext xmlns:c16="http://schemas.microsoft.com/office/drawing/2014/chart" uri="{C3380CC4-5D6E-409C-BE32-E72D297353CC}">
              <c16:uniqueId val="{00000000-CA34-445A-B905-BC9330D8AC6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446911648"/>
        <c:axId val="1446902528"/>
      </c:barChart>
      <c:catAx>
        <c:axId val="144691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accent1">
                        <a:lumMod val="50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Products</a:t>
                </a:r>
                <a:r>
                  <a:rPr lang="en-US" sz="1100" b="1" baseline="0">
                    <a:solidFill>
                      <a:schemeClr val="accent1">
                        <a:lumMod val="50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name</a:t>
                </a:r>
                <a:endParaRPr lang="en-US" sz="1100" b="1">
                  <a:solidFill>
                    <a:schemeClr val="accent1">
                      <a:lumMod val="50000"/>
                    </a:scheme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902528"/>
        <c:crosses val="autoZero"/>
        <c:auto val="1"/>
        <c:lblAlgn val="ctr"/>
        <c:lblOffset val="100"/>
        <c:noMultiLvlLbl val="0"/>
      </c:catAx>
      <c:valAx>
        <c:axId val="144690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Enrollments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91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203916</xdr:colOff>
      <xdr:row>34</xdr:row>
      <xdr:rowOff>214647</xdr:rowOff>
    </xdr:from>
    <xdr:to>
      <xdr:col>6</xdr:col>
      <xdr:colOff>409978</xdr:colOff>
      <xdr:row>59</xdr:row>
      <xdr:rowOff>21465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F17507-1ED1-4440-9149-43B26B8FA9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hamesh Jadhao" refreshedDate="45899.487308912037" createdVersion="8" refreshedVersion="8" minRefreshableVersion="3" recordCount="30" xr:uid="{0065800A-88ED-4A10-A886-BD25985E47EA}">
  <cacheSource type="worksheet">
    <worksheetSource ref="A1:L31" sheet="Excel"/>
  </cacheSource>
  <cacheFields count="11">
    <cacheField name="Country" numFmtId="0">
      <sharedItems/>
    </cacheField>
    <cacheField name="Region" numFmtId="0">
      <sharedItems/>
    </cacheField>
    <cacheField name="Country_Region" numFmtId="0">
      <sharedItems/>
    </cacheField>
    <cacheField name="Client_Name" numFmtId="0">
      <sharedItems/>
    </cacheField>
    <cacheField name="Product-Name_Product-ID" numFmtId="0">
      <sharedItems/>
    </cacheField>
    <cacheField name="Product-Name" numFmtId="0">
      <sharedItems count="12">
        <s v="LogiChain"/>
        <s v="EduLearn"/>
        <s v="HealthFirst"/>
        <s v="AI Predictor"/>
        <s v="MediCare+"/>
        <s v="AgriSmart"/>
        <s v="Cloud Mapper"/>
        <s v="Data Vision"/>
        <s v="Insight Pro"/>
        <s v="Secure Net"/>
        <s v="Analytics Suite"/>
        <s v="AutoDrive"/>
      </sharedItems>
    </cacheField>
    <cacheField name="Product-ID" numFmtId="0">
      <sharedItems/>
    </cacheField>
    <cacheField name="Total_Enrollments" numFmtId="0">
      <sharedItems containsSemiMixedTypes="0" containsString="0" containsNumber="1" containsInteger="1" minValue="62" maxValue="492" count="29">
        <n v="69"/>
        <n v="185"/>
        <n v="279"/>
        <n v="201"/>
        <n v="137"/>
        <n v="460"/>
        <n v="246"/>
        <n v="151"/>
        <n v="454"/>
        <n v="446"/>
        <n v="492"/>
        <n v="312"/>
        <n v="158"/>
        <n v="115"/>
        <n v="91"/>
        <n v="106"/>
        <n v="95"/>
        <n v="218"/>
        <n v="419"/>
        <n v="314"/>
        <n v="309"/>
        <n v="322"/>
        <n v="491"/>
        <n v="257"/>
        <n v="131"/>
        <n v="370"/>
        <n v="195"/>
        <n v="271"/>
        <n v="62"/>
      </sharedItems>
    </cacheField>
    <cacheField name="Subsidiary_Enrollment" numFmtId="0">
      <sharedItems containsSemiMixedTypes="0" containsString="0" containsNumber="1" containsInteger="1" minValue="4" maxValue="311"/>
    </cacheField>
    <cacheField name="Subsidiary_%" numFmtId="10">
      <sharedItems containsSemiMixedTypes="0" containsString="0" containsNumber="1" minValue="2.9197080291970802E-2" maxValue="0.98918918918918919"/>
    </cacheField>
    <cacheField name="Sales" numFmtId="0">
      <sharedItems containsSemiMixedTypes="0" containsString="0" containsNumber="1" containsInteger="1" minValue="16577" maxValue="2366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UK"/>
    <s v="Central"/>
    <s v="UK-Central"/>
    <s v="National Grid"/>
    <s v="LogiChain_P012"/>
    <x v="0"/>
    <s v="P012"/>
    <x v="0"/>
    <n v="12"/>
    <n v="0.17391304347826086"/>
    <n v="25599"/>
  </r>
  <r>
    <s v="UK"/>
    <s v="East"/>
    <s v="UK-East"/>
    <s v="AstraZeneca"/>
    <s v="EduLearn_P009"/>
    <x v="1"/>
    <s v="P009"/>
    <x v="1"/>
    <n v="183"/>
    <n v="0.98918918918918919"/>
    <n v="29785"/>
  </r>
  <r>
    <s v="UK"/>
    <s v="South"/>
    <s v="UK-South"/>
    <s v="Barclays"/>
    <s v="HealthFirst_P014"/>
    <x v="2"/>
    <s v="P014"/>
    <x v="2"/>
    <n v="133"/>
    <n v="0.47670250896057348"/>
    <n v="108531"/>
  </r>
  <r>
    <s v="UK"/>
    <s v="East"/>
    <s v="UK-East"/>
    <s v="BT Group"/>
    <s v="HealthFirst_P014"/>
    <x v="2"/>
    <s v="P014"/>
    <x v="3"/>
    <n v="26"/>
    <n v="0.12935323383084577"/>
    <n v="35979"/>
  </r>
  <r>
    <s v="UK"/>
    <s v="East"/>
    <s v="UK-East"/>
    <s v="National Grid"/>
    <s v="LogiChain_P012"/>
    <x v="0"/>
    <s v="P012"/>
    <x v="4"/>
    <n v="4"/>
    <n v="2.9197080291970802E-2"/>
    <n v="16577"/>
  </r>
  <r>
    <s v="UK"/>
    <s v="North"/>
    <s v="UK-North"/>
    <s v="BT Group"/>
    <s v="AI Predictor_P004"/>
    <x v="3"/>
    <s v="P004"/>
    <x v="5"/>
    <n v="311"/>
    <n v="0.67608695652173911"/>
    <n v="149960"/>
  </r>
  <r>
    <s v="UK"/>
    <s v="East"/>
    <s v="UK-East"/>
    <s v="Sky Group"/>
    <s v="MediCare+_P008"/>
    <x v="4"/>
    <s v="P008"/>
    <x v="6"/>
    <n v="22"/>
    <n v="8.943089430894309E-2"/>
    <n v="47232"/>
  </r>
  <r>
    <s v="UK"/>
    <s v="West"/>
    <s v="UK-West"/>
    <s v="Rolls-Royce"/>
    <s v="AgriSmart_P011"/>
    <x v="5"/>
    <s v="P011"/>
    <x v="7"/>
    <n v="68"/>
    <n v="0.45033112582781459"/>
    <n v="69460"/>
  </r>
  <r>
    <s v="UK"/>
    <s v="South"/>
    <s v="UK-South"/>
    <s v="National Grid"/>
    <s v="Cloud Mapper_P005"/>
    <x v="6"/>
    <s v="P005"/>
    <x v="8"/>
    <n v="120"/>
    <n v="0.26431718061674009"/>
    <n v="93978"/>
  </r>
  <r>
    <s v="UK"/>
    <s v="Central"/>
    <s v="UK-Central"/>
    <s v="National Grid"/>
    <s v="Data Vision_P002"/>
    <x v="7"/>
    <s v="P002"/>
    <x v="9"/>
    <n v="183"/>
    <n v="0.4103139013452915"/>
    <n v="218986"/>
  </r>
  <r>
    <s v="UK"/>
    <s v="East"/>
    <s v="UK-East"/>
    <s v="Sainsbury’s"/>
    <s v="AgriSmart_P011"/>
    <x v="5"/>
    <s v="P011"/>
    <x v="10"/>
    <n v="273"/>
    <n v="0.55487804878048785"/>
    <n v="216972"/>
  </r>
  <r>
    <s v="UK"/>
    <s v="South"/>
    <s v="UK-South"/>
    <s v="HSBC Holdings"/>
    <s v="AI Predictor_P004"/>
    <x v="3"/>
    <s v="P004"/>
    <x v="11"/>
    <n v="124"/>
    <n v="0.39743589743589741"/>
    <n v="150696"/>
  </r>
  <r>
    <s v="UK"/>
    <s v="West"/>
    <s v="UK-West"/>
    <s v="Barclays"/>
    <s v="Insight Pro_P003"/>
    <x v="8"/>
    <s v="P003"/>
    <x v="12"/>
    <n v="92"/>
    <n v="0.58227848101265822"/>
    <n v="30178"/>
  </r>
  <r>
    <s v="UK"/>
    <s v="East"/>
    <s v="UK-East"/>
    <s v="AstraZeneca"/>
    <s v="HealthFirst~P014"/>
    <x v="2"/>
    <s v="P014"/>
    <x v="13"/>
    <n v="27"/>
    <n v="0.23478260869565218"/>
    <n v="42665"/>
  </r>
  <r>
    <s v="UK"/>
    <s v="North"/>
    <s v="UK-North"/>
    <s v="HSBC Holdings"/>
    <s v="Cloud Mapper_P005"/>
    <x v="6"/>
    <s v="P005"/>
    <x v="14"/>
    <n v="7"/>
    <n v="7.6923076923076927E-2"/>
    <n v="42588"/>
  </r>
  <r>
    <s v="UK"/>
    <s v="East"/>
    <s v="UK-East"/>
    <s v="BP"/>
    <s v="Insight Pro_P003"/>
    <x v="8"/>
    <s v="P003"/>
    <x v="15"/>
    <n v="52"/>
    <n v="0.49056603773584906"/>
    <n v="23744"/>
  </r>
  <r>
    <s v="UK"/>
    <s v="Central"/>
    <s v="UK-Central"/>
    <s v="Barclays"/>
    <s v="HealthFirst_P014"/>
    <x v="2"/>
    <s v="P014"/>
    <x v="16"/>
    <n v="87"/>
    <n v="0.91578947368421049"/>
    <n v="25365"/>
  </r>
  <r>
    <s v="UK"/>
    <s v="East"/>
    <s v="UK-East"/>
    <s v="BT Group"/>
    <s v="Secure Net_P006"/>
    <x v="9"/>
    <s v="P006"/>
    <x v="17"/>
    <n v="64"/>
    <n v="0.29357798165137616"/>
    <n v="88944"/>
  </r>
  <r>
    <s v="UK"/>
    <s v="North"/>
    <s v="UK-North"/>
    <s v="Rolls-Royce"/>
    <s v="Analytics Suite_P001"/>
    <x v="10"/>
    <s v="P001"/>
    <x v="18"/>
    <n v="300"/>
    <n v="0.71599045346062051"/>
    <n v="134080"/>
  </r>
  <r>
    <s v="UK"/>
    <s v="Central"/>
    <s v="UK-Central"/>
    <s v="AstraZeneca"/>
    <s v="MediCare+_P008"/>
    <x v="4"/>
    <s v="P008"/>
    <x v="19"/>
    <n v="152"/>
    <n v="0.48407643312101911"/>
    <n v="60288"/>
  </r>
  <r>
    <s v="UK"/>
    <s v="East"/>
    <s v="UK-East"/>
    <s v="Tesco"/>
    <s v="Cloud Mapper_P005"/>
    <x v="6"/>
    <s v="P005"/>
    <x v="20"/>
    <n v="60"/>
    <n v="0.1941747572815534"/>
    <n v="51912"/>
  </r>
  <r>
    <s v="UK"/>
    <s v="Central"/>
    <s v="UK-Central"/>
    <s v="Bupa"/>
    <s v="Secure Net_P006"/>
    <x v="9"/>
    <s v="P006"/>
    <x v="20"/>
    <n v="259"/>
    <n v="0.8381877022653722"/>
    <n v="127926"/>
  </r>
  <r>
    <s v="UK"/>
    <s v="North"/>
    <s v="UK-North"/>
    <s v="National Grid"/>
    <s v="Analytics Suite_P001"/>
    <x v="10"/>
    <s v="P001"/>
    <x v="21"/>
    <n v="173"/>
    <n v="0.53726708074534157"/>
    <n v="63756"/>
  </r>
  <r>
    <s v="UK"/>
    <s v="North"/>
    <s v="UK-North"/>
    <s v="Marks &amp; Spencer"/>
    <s v="LogiChain_P012"/>
    <x v="0"/>
    <s v="P012"/>
    <x v="22"/>
    <n v="284"/>
    <n v="0.57841140529531565"/>
    <n v="236662"/>
  </r>
  <r>
    <s v="UK"/>
    <s v="West"/>
    <s v="UK-West"/>
    <s v="Unilever"/>
    <s v="HealthFirst_P014"/>
    <x v="2"/>
    <s v="P014"/>
    <x v="23"/>
    <n v="243"/>
    <n v="0.94552529182879375"/>
    <n v="47031"/>
  </r>
  <r>
    <s v="UK"/>
    <s v="Central"/>
    <s v="UK-Central"/>
    <s v="Next"/>
    <s v="EduLearn_P009"/>
    <x v="1"/>
    <s v="P009"/>
    <x v="24"/>
    <n v="15"/>
    <n v="0.11450381679389313"/>
    <n v="21746"/>
  </r>
  <r>
    <s v="UK"/>
    <s v="East"/>
    <s v="UK-East"/>
    <s v="GlaxoSmithKline (GSK)"/>
    <s v="AutoDrive~P015"/>
    <x v="11"/>
    <s v="P015"/>
    <x v="25"/>
    <n v="119"/>
    <n v="0.32162162162162161"/>
    <n v="165760"/>
  </r>
  <r>
    <s v="UK"/>
    <s v="South"/>
    <s v="UK-South"/>
    <s v="Sainsbury’s"/>
    <s v="AgriSmart_P011"/>
    <x v="5"/>
    <s v="P011"/>
    <x v="26"/>
    <n v="96"/>
    <n v="0.49230769230769234"/>
    <n v="33150"/>
  </r>
  <r>
    <s v="UK"/>
    <s v="North"/>
    <s v="UK-North"/>
    <s v="Vodafone"/>
    <s v="AutoDrive_P015"/>
    <x v="11"/>
    <s v="P015"/>
    <x v="27"/>
    <n v="207"/>
    <n v="0.76383763837638374"/>
    <n v="66124"/>
  </r>
  <r>
    <s v="UK"/>
    <s v="South"/>
    <s v="UK-South"/>
    <s v="Sainsbury’s"/>
    <s v="AI Predictor_P004"/>
    <x v="3"/>
    <s v="P004"/>
    <x v="28"/>
    <n v="57"/>
    <n v="0.91935483870967738"/>
    <n v="260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48822-6D2E-497B-8483-C39B7E88121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J40:K53" firstHeaderRow="1" firstDataRow="1" firstDataCol="1"/>
  <pivotFields count="11">
    <pivotField showAll="0"/>
    <pivotField showAll="0"/>
    <pivotField showAll="0"/>
    <pivotField showAll="0"/>
    <pivotField showAll="0"/>
    <pivotField axis="axisRow" showAll="0" sortType="descending">
      <items count="13">
        <item x="5"/>
        <item x="3"/>
        <item x="10"/>
        <item x="11"/>
        <item x="6"/>
        <item x="7"/>
        <item x="1"/>
        <item x="2"/>
        <item x="8"/>
        <item x="0"/>
        <item x="4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numFmtId="10" showAll="0"/>
    <pivotField showAll="0"/>
  </pivotFields>
  <rowFields count="1">
    <field x="5"/>
  </rowFields>
  <rowItems count="13">
    <i>
      <x v="7"/>
    </i>
    <i>
      <x v="4"/>
    </i>
    <i>
      <x/>
    </i>
    <i>
      <x v="1"/>
    </i>
    <i>
      <x v="2"/>
    </i>
    <i>
      <x v="9"/>
    </i>
    <i>
      <x v="3"/>
    </i>
    <i>
      <x v="10"/>
    </i>
    <i>
      <x v="11"/>
    </i>
    <i>
      <x v="5"/>
    </i>
    <i>
      <x v="6"/>
    </i>
    <i>
      <x v="8"/>
    </i>
    <i t="grand">
      <x/>
    </i>
  </rowItems>
  <colItems count="1">
    <i/>
  </colItems>
  <dataFields count="1">
    <dataField name="Sum of Total_Enrollments" fld="7" baseField="5" baseItem="0"/>
  </dataFields>
  <formats count="12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5" type="button" dataOnly="0" labelOnly="1" outline="0" axis="axisRow" fieldPosition="0"/>
    </format>
    <format dxfId="10">
      <pivotArea dataOnly="0" labelOnly="1" fieldPosition="0">
        <references count="1">
          <reference field="5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5" type="button" dataOnly="0" labelOnly="1" outline="0" axis="axisRow" fieldPosition="0"/>
    </format>
    <format dxfId="3">
      <pivotArea dataOnly="0" labelOnly="1" fieldPosition="0">
        <references count="1">
          <reference field="5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"/>
  <sheetViews>
    <sheetView tabSelected="1" zoomScale="54" workbookViewId="0">
      <selection activeCell="O38" sqref="O38"/>
    </sheetView>
  </sheetViews>
  <sheetFormatPr defaultColWidth="14.44140625" defaultRowHeight="15" customHeight="1"/>
  <cols>
    <col min="1" max="1" width="12.88671875" style="21" bestFit="1" customWidth="1"/>
    <col min="2" max="2" width="22.88671875" style="21" bestFit="1" customWidth="1"/>
    <col min="3" max="3" width="14.6640625" style="21" customWidth="1"/>
    <col min="4" max="4" width="24.6640625" style="21" customWidth="1"/>
    <col min="5" max="5" width="27.6640625" style="21" customWidth="1"/>
    <col min="6" max="6" width="18.21875" style="21" customWidth="1"/>
    <col min="7" max="7" width="21.109375" style="21" customWidth="1"/>
    <col min="8" max="8" width="19.44140625" style="21" customWidth="1"/>
    <col min="9" max="9" width="11" style="21" customWidth="1"/>
    <col min="10" max="10" width="14.21875" style="38" customWidth="1"/>
    <col min="11" max="11" width="21" style="38" customWidth="1"/>
    <col min="12" max="12" width="9.109375" style="21" customWidth="1"/>
    <col min="13" max="13" width="17.6640625" style="21" customWidth="1"/>
    <col min="14" max="14" width="9.109375" style="21" customWidth="1"/>
    <col min="15" max="15" width="24.21875" style="21" bestFit="1" customWidth="1"/>
    <col min="16" max="16" width="17.109375" style="21" bestFit="1" customWidth="1"/>
    <col min="17" max="18" width="9.109375" style="21" customWidth="1"/>
    <col min="19" max="16384" width="14.44140625" style="21"/>
  </cols>
  <sheetData>
    <row r="1" spans="1:18" ht="13.5" customHeight="1">
      <c r="A1" s="16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8" t="s">
        <v>78</v>
      </c>
      <c r="K1" s="18" t="s">
        <v>89</v>
      </c>
      <c r="L1" s="16" t="s">
        <v>9</v>
      </c>
      <c r="M1" s="45" t="s">
        <v>95</v>
      </c>
      <c r="N1" s="19"/>
      <c r="O1" s="40" t="s">
        <v>83</v>
      </c>
      <c r="P1" s="41" t="s">
        <v>82</v>
      </c>
      <c r="Q1" s="20"/>
      <c r="R1" s="20"/>
    </row>
    <row r="2" spans="1:18" ht="13.5" customHeight="1">
      <c r="A2" s="22" t="s">
        <v>10</v>
      </c>
      <c r="B2" s="23" t="s">
        <v>29</v>
      </c>
      <c r="C2" s="23" t="str">
        <f t="shared" ref="C2:C31" si="0">_xlfn.TEXTJOIN("-",TRUE,A2,B2)</f>
        <v>UK-North</v>
      </c>
      <c r="D2" s="24" t="s">
        <v>51</v>
      </c>
      <c r="E2" s="25" t="s">
        <v>13</v>
      </c>
      <c r="F2" s="22" t="s">
        <v>14</v>
      </c>
      <c r="G2" s="23" t="s">
        <v>15</v>
      </c>
      <c r="H2" s="23">
        <v>491</v>
      </c>
      <c r="I2" s="23">
        <v>284</v>
      </c>
      <c r="J2" s="26">
        <f t="shared" ref="J2:J31" si="1">I2/H2</f>
        <v>0.57841140529531565</v>
      </c>
      <c r="K2" s="43" t="str">
        <f>IF(I2/H2&lt;0.4,"Yes","No")</f>
        <v>No</v>
      </c>
      <c r="L2" s="23">
        <v>236662</v>
      </c>
      <c r="M2" s="46" t="str">
        <f>IF(L2&gt;=80000,"High",IF(L2&gt;40000,"Medium","Low"))</f>
        <v>High</v>
      </c>
      <c r="N2" s="28"/>
      <c r="O2" s="40"/>
      <c r="P2" s="41"/>
      <c r="R2" s="29"/>
    </row>
    <row r="3" spans="1:18" ht="13.5" customHeight="1">
      <c r="A3" s="22" t="s">
        <v>10</v>
      </c>
      <c r="B3" s="23" t="s">
        <v>11</v>
      </c>
      <c r="C3" s="23" t="str">
        <f t="shared" si="0"/>
        <v>UK-Central</v>
      </c>
      <c r="D3" s="24" t="s">
        <v>12</v>
      </c>
      <c r="E3" s="25" t="s">
        <v>38</v>
      </c>
      <c r="F3" s="22" t="s">
        <v>68</v>
      </c>
      <c r="G3" s="23" t="s">
        <v>69</v>
      </c>
      <c r="H3" s="23">
        <v>446</v>
      </c>
      <c r="I3" s="23">
        <v>183</v>
      </c>
      <c r="J3" s="26">
        <f t="shared" si="1"/>
        <v>0.4103139013452915</v>
      </c>
      <c r="K3" s="43" t="str">
        <f t="shared" ref="K3:K31" si="2">IF(I3/H3&lt;0.4,"Yes","No")</f>
        <v>No</v>
      </c>
      <c r="L3" s="23">
        <v>218986</v>
      </c>
      <c r="M3" s="46" t="str">
        <f t="shared" ref="M3:M31" si="3">IF(L3&gt;=80000,"High",IF(L3&gt;40000,"Medium","Low"))</f>
        <v>High</v>
      </c>
      <c r="N3" s="28"/>
      <c r="O3" s="30" t="str" cm="1">
        <f t="array" ref="O3:O14">_xlfn.UNIQUE(F2:F31)</f>
        <v>LogiChain</v>
      </c>
      <c r="P3" s="30">
        <f>COUNTA(_xlfn.UNIQUE(F2:F31))</f>
        <v>12</v>
      </c>
      <c r="R3" s="31"/>
    </row>
    <row r="4" spans="1:18" ht="13.5" customHeight="1">
      <c r="A4" s="22" t="s">
        <v>10</v>
      </c>
      <c r="B4" s="23" t="s">
        <v>17</v>
      </c>
      <c r="C4" s="23" t="str">
        <f t="shared" si="0"/>
        <v>UK-East</v>
      </c>
      <c r="D4" s="24" t="s">
        <v>40</v>
      </c>
      <c r="E4" s="25" t="s">
        <v>35</v>
      </c>
      <c r="F4" s="22" t="s">
        <v>64</v>
      </c>
      <c r="G4" s="23" t="s">
        <v>65</v>
      </c>
      <c r="H4" s="23">
        <v>492</v>
      </c>
      <c r="I4" s="23">
        <v>273</v>
      </c>
      <c r="J4" s="26">
        <f t="shared" si="1"/>
        <v>0.55487804878048785</v>
      </c>
      <c r="K4" s="43" t="str">
        <f t="shared" si="2"/>
        <v>No</v>
      </c>
      <c r="L4" s="23">
        <v>216972</v>
      </c>
      <c r="M4" s="46" t="str">
        <f t="shared" si="3"/>
        <v>High</v>
      </c>
      <c r="N4" s="28"/>
      <c r="O4" s="30" t="str">
        <v>Data Vision</v>
      </c>
      <c r="P4" s="30"/>
      <c r="R4" s="31"/>
    </row>
    <row r="5" spans="1:18" ht="13.5" customHeight="1">
      <c r="A5" s="22" t="s">
        <v>10</v>
      </c>
      <c r="B5" s="23" t="s">
        <v>17</v>
      </c>
      <c r="C5" s="23" t="str">
        <f t="shared" si="0"/>
        <v>UK-East</v>
      </c>
      <c r="D5" s="24" t="s">
        <v>54</v>
      </c>
      <c r="E5" s="25" t="s">
        <v>55</v>
      </c>
      <c r="F5" s="22" t="s">
        <v>76</v>
      </c>
      <c r="G5" s="23" t="s">
        <v>77</v>
      </c>
      <c r="H5" s="23">
        <v>370</v>
      </c>
      <c r="I5" s="23">
        <v>119</v>
      </c>
      <c r="J5" s="26">
        <f t="shared" si="1"/>
        <v>0.32162162162162161</v>
      </c>
      <c r="K5" s="26" t="str">
        <f t="shared" si="2"/>
        <v>Yes</v>
      </c>
      <c r="L5" s="23">
        <v>165760</v>
      </c>
      <c r="M5" s="46" t="str">
        <f t="shared" si="3"/>
        <v>High</v>
      </c>
      <c r="N5" s="28"/>
      <c r="O5" s="30" t="str">
        <v>AgriSmart</v>
      </c>
      <c r="P5" s="30"/>
      <c r="R5" s="31"/>
    </row>
    <row r="6" spans="1:18" ht="13.5" customHeight="1">
      <c r="A6" s="22" t="s">
        <v>10</v>
      </c>
      <c r="B6" s="23" t="s">
        <v>22</v>
      </c>
      <c r="C6" s="23" t="str">
        <f t="shared" si="0"/>
        <v>UK-South</v>
      </c>
      <c r="D6" s="24" t="s">
        <v>42</v>
      </c>
      <c r="E6" s="25" t="s">
        <v>30</v>
      </c>
      <c r="F6" s="22" t="s">
        <v>60</v>
      </c>
      <c r="G6" s="23" t="s">
        <v>61</v>
      </c>
      <c r="H6" s="23">
        <v>312</v>
      </c>
      <c r="I6" s="23">
        <v>124</v>
      </c>
      <c r="J6" s="26">
        <f t="shared" si="1"/>
        <v>0.39743589743589741</v>
      </c>
      <c r="K6" s="26" t="str">
        <f t="shared" si="2"/>
        <v>Yes</v>
      </c>
      <c r="L6" s="23">
        <v>150696</v>
      </c>
      <c r="M6" s="46" t="str">
        <f t="shared" si="3"/>
        <v>High</v>
      </c>
      <c r="N6" s="28"/>
      <c r="O6" s="30" t="str">
        <v>AutoDrive</v>
      </c>
      <c r="P6" s="30"/>
      <c r="R6" s="30"/>
    </row>
    <row r="7" spans="1:18" ht="13.5" customHeight="1">
      <c r="A7" s="22" t="s">
        <v>10</v>
      </c>
      <c r="B7" s="23" t="s">
        <v>29</v>
      </c>
      <c r="C7" s="23" t="str">
        <f t="shared" si="0"/>
        <v>UK-North</v>
      </c>
      <c r="D7" s="24" t="s">
        <v>27</v>
      </c>
      <c r="E7" s="25" t="s">
        <v>30</v>
      </c>
      <c r="F7" s="22" t="s">
        <v>60</v>
      </c>
      <c r="G7" s="23" t="s">
        <v>61</v>
      </c>
      <c r="H7" s="23">
        <v>460</v>
      </c>
      <c r="I7" s="23">
        <v>311</v>
      </c>
      <c r="J7" s="26">
        <f t="shared" si="1"/>
        <v>0.67608695652173911</v>
      </c>
      <c r="K7" s="44" t="str">
        <f t="shared" si="2"/>
        <v>No</v>
      </c>
      <c r="L7" s="23">
        <v>149960</v>
      </c>
      <c r="M7" s="46" t="str">
        <f t="shared" si="3"/>
        <v>High</v>
      </c>
      <c r="N7" s="28"/>
      <c r="O7" s="30" t="str">
        <v>AI Predictor</v>
      </c>
      <c r="P7" s="30"/>
      <c r="R7" s="31"/>
    </row>
    <row r="8" spans="1:18" ht="13.5" customHeight="1">
      <c r="A8" s="22" t="s">
        <v>10</v>
      </c>
      <c r="B8" s="23" t="s">
        <v>29</v>
      </c>
      <c r="C8" s="23" t="str">
        <f t="shared" si="0"/>
        <v>UK-North</v>
      </c>
      <c r="D8" s="24" t="s">
        <v>34</v>
      </c>
      <c r="E8" s="25" t="s">
        <v>48</v>
      </c>
      <c r="F8" s="22" t="s">
        <v>74</v>
      </c>
      <c r="G8" s="23" t="s">
        <v>75</v>
      </c>
      <c r="H8" s="23">
        <v>419</v>
      </c>
      <c r="I8" s="23">
        <v>300</v>
      </c>
      <c r="J8" s="26">
        <f t="shared" si="1"/>
        <v>0.71599045346062051</v>
      </c>
      <c r="K8" s="44" t="str">
        <f t="shared" si="2"/>
        <v>No</v>
      </c>
      <c r="L8" s="23">
        <v>134080</v>
      </c>
      <c r="M8" s="46" t="str">
        <f t="shared" si="3"/>
        <v>High</v>
      </c>
      <c r="N8" s="28"/>
      <c r="O8" s="30" t="str">
        <v>Analytics Suite</v>
      </c>
      <c r="P8" s="30"/>
      <c r="R8" s="31"/>
    </row>
    <row r="9" spans="1:18" ht="13.5" customHeight="1">
      <c r="A9" s="22" t="s">
        <v>10</v>
      </c>
      <c r="B9" s="23" t="s">
        <v>11</v>
      </c>
      <c r="C9" s="23" t="str">
        <f t="shared" si="0"/>
        <v>UK-Central</v>
      </c>
      <c r="D9" s="24" t="s">
        <v>50</v>
      </c>
      <c r="E9" s="25" t="s">
        <v>47</v>
      </c>
      <c r="F9" s="22" t="s">
        <v>72</v>
      </c>
      <c r="G9" s="23" t="s">
        <v>73</v>
      </c>
      <c r="H9" s="23">
        <v>309</v>
      </c>
      <c r="I9" s="23">
        <v>259</v>
      </c>
      <c r="J9" s="26">
        <f t="shared" si="1"/>
        <v>0.8381877022653722</v>
      </c>
      <c r="K9" s="44" t="str">
        <f t="shared" si="2"/>
        <v>No</v>
      </c>
      <c r="L9" s="23">
        <v>127926</v>
      </c>
      <c r="M9" s="46" t="str">
        <f t="shared" si="3"/>
        <v>High</v>
      </c>
      <c r="N9" s="28"/>
      <c r="O9" s="30" t="str">
        <v>Secure Net</v>
      </c>
      <c r="P9" s="30"/>
      <c r="R9" s="30"/>
    </row>
    <row r="10" spans="1:18" ht="13.5" customHeight="1">
      <c r="A10" s="22" t="s">
        <v>10</v>
      </c>
      <c r="B10" s="23" t="s">
        <v>22</v>
      </c>
      <c r="C10" s="23" t="str">
        <f t="shared" si="0"/>
        <v>UK-South</v>
      </c>
      <c r="D10" s="24" t="s">
        <v>23</v>
      </c>
      <c r="E10" s="25" t="s">
        <v>24</v>
      </c>
      <c r="F10" s="32" t="s">
        <v>25</v>
      </c>
      <c r="G10" s="23" t="s">
        <v>59</v>
      </c>
      <c r="H10" s="23">
        <v>279</v>
      </c>
      <c r="I10" s="23">
        <v>133</v>
      </c>
      <c r="J10" s="26">
        <f t="shared" si="1"/>
        <v>0.47670250896057348</v>
      </c>
      <c r="K10" s="44" t="str">
        <f t="shared" si="2"/>
        <v>No</v>
      </c>
      <c r="L10" s="23">
        <v>108531</v>
      </c>
      <c r="M10" s="46" t="str">
        <f t="shared" si="3"/>
        <v>High</v>
      </c>
      <c r="N10" s="28"/>
      <c r="O10" s="30" t="str">
        <v>HealthFirst</v>
      </c>
      <c r="P10" s="30"/>
      <c r="R10" s="30"/>
    </row>
    <row r="11" spans="1:18" ht="13.5" customHeight="1">
      <c r="A11" s="22" t="s">
        <v>10</v>
      </c>
      <c r="B11" s="23" t="s">
        <v>22</v>
      </c>
      <c r="C11" s="23" t="str">
        <f t="shared" si="0"/>
        <v>UK-South</v>
      </c>
      <c r="D11" s="24" t="s">
        <v>12</v>
      </c>
      <c r="E11" s="25" t="s">
        <v>36</v>
      </c>
      <c r="F11" s="22" t="s">
        <v>66</v>
      </c>
      <c r="G11" s="23" t="s">
        <v>67</v>
      </c>
      <c r="H11" s="23">
        <v>454</v>
      </c>
      <c r="I11" s="23">
        <v>120</v>
      </c>
      <c r="J11" s="26">
        <f t="shared" si="1"/>
        <v>0.26431718061674009</v>
      </c>
      <c r="K11" s="26" t="str">
        <f t="shared" si="2"/>
        <v>Yes</v>
      </c>
      <c r="L11" s="23">
        <v>93978</v>
      </c>
      <c r="M11" s="46" t="str">
        <f t="shared" si="3"/>
        <v>High</v>
      </c>
      <c r="N11" s="28"/>
      <c r="O11" s="30" t="str">
        <v>Cloud Mapper</v>
      </c>
      <c r="P11" s="30"/>
      <c r="R11" s="30"/>
    </row>
    <row r="12" spans="1:18" ht="13.5" customHeight="1">
      <c r="A12" s="22" t="s">
        <v>10</v>
      </c>
      <c r="B12" s="23" t="s">
        <v>17</v>
      </c>
      <c r="C12" s="23" t="str">
        <f t="shared" si="0"/>
        <v>UK-East</v>
      </c>
      <c r="D12" s="24" t="s">
        <v>27</v>
      </c>
      <c r="E12" s="25" t="s">
        <v>47</v>
      </c>
      <c r="F12" s="22" t="s">
        <v>72</v>
      </c>
      <c r="G12" s="23" t="s">
        <v>73</v>
      </c>
      <c r="H12" s="23">
        <v>218</v>
      </c>
      <c r="I12" s="23">
        <v>64</v>
      </c>
      <c r="J12" s="26">
        <f t="shared" si="1"/>
        <v>0.29357798165137616</v>
      </c>
      <c r="K12" s="26" t="str">
        <f t="shared" si="2"/>
        <v>Yes</v>
      </c>
      <c r="L12" s="23">
        <v>88944</v>
      </c>
      <c r="M12" s="27" t="str">
        <f t="shared" si="3"/>
        <v>High</v>
      </c>
      <c r="N12" s="28"/>
      <c r="O12" s="30" t="str">
        <v>MediCare+</v>
      </c>
      <c r="P12" s="30"/>
      <c r="R12" s="30"/>
    </row>
    <row r="13" spans="1:18" ht="13.5" customHeight="1">
      <c r="A13" s="22" t="s">
        <v>10</v>
      </c>
      <c r="B13" s="23" t="s">
        <v>33</v>
      </c>
      <c r="C13" s="23" t="str">
        <f t="shared" si="0"/>
        <v>UK-West</v>
      </c>
      <c r="D13" s="24" t="s">
        <v>34</v>
      </c>
      <c r="E13" s="25" t="s">
        <v>35</v>
      </c>
      <c r="F13" s="22" t="s">
        <v>64</v>
      </c>
      <c r="G13" s="23" t="s">
        <v>65</v>
      </c>
      <c r="H13" s="23">
        <v>151</v>
      </c>
      <c r="I13" s="23">
        <v>68</v>
      </c>
      <c r="J13" s="26">
        <f t="shared" si="1"/>
        <v>0.45033112582781459</v>
      </c>
      <c r="K13" s="26" t="str">
        <f t="shared" si="2"/>
        <v>No</v>
      </c>
      <c r="L13" s="23">
        <v>69460</v>
      </c>
      <c r="M13" s="27" t="str">
        <f t="shared" si="3"/>
        <v>Medium</v>
      </c>
      <c r="N13" s="28"/>
      <c r="O13" s="30" t="str">
        <v>Insight Pro</v>
      </c>
      <c r="P13" s="30"/>
      <c r="R13" s="30"/>
    </row>
    <row r="14" spans="1:18" ht="13.5" customHeight="1">
      <c r="A14" s="22" t="s">
        <v>10</v>
      </c>
      <c r="B14" s="23" t="s">
        <v>29</v>
      </c>
      <c r="C14" s="23" t="str">
        <f t="shared" si="0"/>
        <v>UK-North</v>
      </c>
      <c r="D14" s="24" t="s">
        <v>56</v>
      </c>
      <c r="E14" s="25" t="s">
        <v>57</v>
      </c>
      <c r="F14" s="22" t="s">
        <v>76</v>
      </c>
      <c r="G14" s="23" t="s">
        <v>77</v>
      </c>
      <c r="H14" s="23">
        <v>271</v>
      </c>
      <c r="I14" s="23">
        <v>207</v>
      </c>
      <c r="J14" s="26">
        <f t="shared" si="1"/>
        <v>0.76383763837638374</v>
      </c>
      <c r="K14" s="26" t="str">
        <f t="shared" si="2"/>
        <v>No</v>
      </c>
      <c r="L14" s="23">
        <v>66124</v>
      </c>
      <c r="M14" s="27" t="str">
        <f t="shared" si="3"/>
        <v>Medium</v>
      </c>
      <c r="N14" s="28"/>
      <c r="O14" s="30" t="str">
        <v>EduLearn</v>
      </c>
      <c r="P14" s="30"/>
      <c r="R14" s="30"/>
    </row>
    <row r="15" spans="1:18" ht="13.5" customHeight="1">
      <c r="A15" s="22" t="s">
        <v>10</v>
      </c>
      <c r="B15" s="23" t="s">
        <v>29</v>
      </c>
      <c r="C15" s="23" t="str">
        <f t="shared" si="0"/>
        <v>UK-North</v>
      </c>
      <c r="D15" s="24" t="s">
        <v>12</v>
      </c>
      <c r="E15" s="25" t="s">
        <v>48</v>
      </c>
      <c r="F15" s="22" t="s">
        <v>74</v>
      </c>
      <c r="G15" s="23" t="s">
        <v>75</v>
      </c>
      <c r="H15" s="23">
        <v>322</v>
      </c>
      <c r="I15" s="23">
        <v>173</v>
      </c>
      <c r="J15" s="26">
        <f t="shared" si="1"/>
        <v>0.53726708074534157</v>
      </c>
      <c r="K15" s="26" t="str">
        <f t="shared" si="2"/>
        <v>No</v>
      </c>
      <c r="L15" s="23">
        <v>63756</v>
      </c>
      <c r="M15" s="27" t="str">
        <f t="shared" si="3"/>
        <v>Medium</v>
      </c>
      <c r="N15" s="28"/>
      <c r="R15" s="30"/>
    </row>
    <row r="16" spans="1:18" ht="13.5" customHeight="1">
      <c r="A16" s="22" t="s">
        <v>10</v>
      </c>
      <c r="B16" s="23" t="s">
        <v>11</v>
      </c>
      <c r="C16" s="23" t="str">
        <f t="shared" si="0"/>
        <v>UK-Central</v>
      </c>
      <c r="D16" s="24" t="s">
        <v>18</v>
      </c>
      <c r="E16" s="25" t="s">
        <v>32</v>
      </c>
      <c r="F16" s="22" t="s">
        <v>62</v>
      </c>
      <c r="G16" s="23" t="s">
        <v>63</v>
      </c>
      <c r="H16" s="23">
        <v>314</v>
      </c>
      <c r="I16" s="23">
        <v>152</v>
      </c>
      <c r="J16" s="26">
        <f t="shared" si="1"/>
        <v>0.48407643312101911</v>
      </c>
      <c r="K16" s="26" t="str">
        <f t="shared" si="2"/>
        <v>No</v>
      </c>
      <c r="L16" s="23">
        <v>60288</v>
      </c>
      <c r="M16" s="27" t="str">
        <f t="shared" si="3"/>
        <v>Medium</v>
      </c>
      <c r="N16" s="28"/>
      <c r="R16" s="30"/>
    </row>
    <row r="17" spans="1:18" ht="13.5" customHeight="1">
      <c r="A17" s="22" t="s">
        <v>10</v>
      </c>
      <c r="B17" s="23" t="s">
        <v>17</v>
      </c>
      <c r="C17" s="23" t="str">
        <f t="shared" si="0"/>
        <v>UK-East</v>
      </c>
      <c r="D17" s="24" t="s">
        <v>49</v>
      </c>
      <c r="E17" s="25" t="s">
        <v>36</v>
      </c>
      <c r="F17" s="22" t="s">
        <v>66</v>
      </c>
      <c r="G17" s="23" t="s">
        <v>67</v>
      </c>
      <c r="H17" s="23">
        <v>309</v>
      </c>
      <c r="I17" s="23">
        <v>60</v>
      </c>
      <c r="J17" s="26">
        <f t="shared" si="1"/>
        <v>0.1941747572815534</v>
      </c>
      <c r="K17" s="26" t="str">
        <f t="shared" si="2"/>
        <v>Yes</v>
      </c>
      <c r="L17" s="23">
        <v>51912</v>
      </c>
      <c r="M17" s="27" t="str">
        <f t="shared" si="3"/>
        <v>Medium</v>
      </c>
      <c r="N17" s="28"/>
      <c r="R17" s="30"/>
    </row>
    <row r="18" spans="1:18" ht="13.5" customHeight="1">
      <c r="A18" s="22" t="s">
        <v>10</v>
      </c>
      <c r="B18" s="23" t="s">
        <v>17</v>
      </c>
      <c r="C18" s="23" t="str">
        <f t="shared" si="0"/>
        <v>UK-East</v>
      </c>
      <c r="D18" s="24" t="s">
        <v>31</v>
      </c>
      <c r="E18" s="25" t="s">
        <v>32</v>
      </c>
      <c r="F18" s="22" t="s">
        <v>62</v>
      </c>
      <c r="G18" s="23" t="s">
        <v>63</v>
      </c>
      <c r="H18" s="23">
        <v>246</v>
      </c>
      <c r="I18" s="23">
        <v>22</v>
      </c>
      <c r="J18" s="26">
        <f t="shared" si="1"/>
        <v>8.943089430894309E-2</v>
      </c>
      <c r="K18" s="26" t="str">
        <f t="shared" si="2"/>
        <v>Yes</v>
      </c>
      <c r="L18" s="23">
        <v>47232</v>
      </c>
      <c r="M18" s="27" t="str">
        <f t="shared" si="3"/>
        <v>Medium</v>
      </c>
      <c r="N18" s="28"/>
      <c r="R18" s="30"/>
    </row>
    <row r="19" spans="1:18" ht="13.5" customHeight="1">
      <c r="A19" s="22" t="s">
        <v>10</v>
      </c>
      <c r="B19" s="23" t="s">
        <v>33</v>
      </c>
      <c r="C19" s="23" t="str">
        <f t="shared" si="0"/>
        <v>UK-West</v>
      </c>
      <c r="D19" s="24" t="s">
        <v>52</v>
      </c>
      <c r="E19" s="25" t="s">
        <v>24</v>
      </c>
      <c r="F19" s="22" t="s">
        <v>25</v>
      </c>
      <c r="G19" s="23" t="s">
        <v>59</v>
      </c>
      <c r="H19" s="23">
        <v>257</v>
      </c>
      <c r="I19" s="23">
        <v>243</v>
      </c>
      <c r="J19" s="26">
        <f t="shared" si="1"/>
        <v>0.94552529182879375</v>
      </c>
      <c r="K19" s="26" t="str">
        <f t="shared" si="2"/>
        <v>No</v>
      </c>
      <c r="L19" s="23">
        <v>47031</v>
      </c>
      <c r="M19" s="27" t="str">
        <f t="shared" si="3"/>
        <v>Medium</v>
      </c>
      <c r="N19" s="28"/>
      <c r="R19" s="30"/>
    </row>
    <row r="20" spans="1:18" ht="13.5" customHeight="1">
      <c r="A20" s="22" t="s">
        <v>10</v>
      </c>
      <c r="B20" s="23" t="s">
        <v>17</v>
      </c>
      <c r="C20" s="23" t="str">
        <f t="shared" si="0"/>
        <v>UK-East</v>
      </c>
      <c r="D20" s="24" t="s">
        <v>18</v>
      </c>
      <c r="E20" s="25" t="s">
        <v>45</v>
      </c>
      <c r="F20" s="22" t="s">
        <v>25</v>
      </c>
      <c r="G20" s="23" t="s">
        <v>59</v>
      </c>
      <c r="H20" s="23">
        <v>115</v>
      </c>
      <c r="I20" s="23">
        <v>27</v>
      </c>
      <c r="J20" s="26">
        <f t="shared" si="1"/>
        <v>0.23478260869565218</v>
      </c>
      <c r="K20" s="26" t="str">
        <f t="shared" si="2"/>
        <v>Yes</v>
      </c>
      <c r="L20" s="23">
        <v>42665</v>
      </c>
      <c r="M20" s="27" t="str">
        <f t="shared" si="3"/>
        <v>Medium</v>
      </c>
      <c r="N20" s="28"/>
      <c r="R20" s="30"/>
    </row>
    <row r="21" spans="1:18" ht="13.5" customHeight="1">
      <c r="A21" s="22" t="s">
        <v>10</v>
      </c>
      <c r="B21" s="23" t="s">
        <v>29</v>
      </c>
      <c r="C21" s="23" t="str">
        <f t="shared" si="0"/>
        <v>UK-North</v>
      </c>
      <c r="D21" s="24" t="s">
        <v>42</v>
      </c>
      <c r="E21" s="25" t="s">
        <v>36</v>
      </c>
      <c r="F21" s="22" t="s">
        <v>66</v>
      </c>
      <c r="G21" s="23" t="s">
        <v>67</v>
      </c>
      <c r="H21" s="23">
        <v>91</v>
      </c>
      <c r="I21" s="23">
        <v>7</v>
      </c>
      <c r="J21" s="26">
        <f t="shared" si="1"/>
        <v>7.6923076923076927E-2</v>
      </c>
      <c r="K21" s="26" t="str">
        <f t="shared" si="2"/>
        <v>Yes</v>
      </c>
      <c r="L21" s="23">
        <v>42588</v>
      </c>
      <c r="M21" s="27" t="str">
        <f t="shared" si="3"/>
        <v>Medium</v>
      </c>
      <c r="N21" s="28"/>
      <c r="R21" s="30"/>
    </row>
    <row r="22" spans="1:18" ht="13.5" customHeight="1">
      <c r="A22" s="22" t="s">
        <v>10</v>
      </c>
      <c r="B22" s="23" t="s">
        <v>17</v>
      </c>
      <c r="C22" s="23" t="str">
        <f t="shared" si="0"/>
        <v>UK-East</v>
      </c>
      <c r="D22" s="24" t="s">
        <v>27</v>
      </c>
      <c r="E22" s="25" t="s">
        <v>24</v>
      </c>
      <c r="F22" s="22" t="s">
        <v>25</v>
      </c>
      <c r="G22" s="23" t="s">
        <v>59</v>
      </c>
      <c r="H22" s="23">
        <v>201</v>
      </c>
      <c r="I22" s="23">
        <v>26</v>
      </c>
      <c r="J22" s="26">
        <f t="shared" si="1"/>
        <v>0.12935323383084577</v>
      </c>
      <c r="K22" s="26" t="str">
        <f t="shared" si="2"/>
        <v>Yes</v>
      </c>
      <c r="L22" s="23">
        <v>35979</v>
      </c>
      <c r="M22" s="27" t="str">
        <f t="shared" si="3"/>
        <v>Low</v>
      </c>
      <c r="N22" s="28"/>
      <c r="R22" s="30"/>
    </row>
    <row r="23" spans="1:18" ht="13.5" customHeight="1">
      <c r="A23" s="22" t="s">
        <v>10</v>
      </c>
      <c r="B23" s="23" t="s">
        <v>22</v>
      </c>
      <c r="C23" s="23" t="str">
        <f t="shared" si="0"/>
        <v>UK-South</v>
      </c>
      <c r="D23" s="24" t="s">
        <v>40</v>
      </c>
      <c r="E23" s="25" t="s">
        <v>35</v>
      </c>
      <c r="F23" s="22" t="s">
        <v>64</v>
      </c>
      <c r="G23" s="23" t="s">
        <v>65</v>
      </c>
      <c r="H23" s="23">
        <v>195</v>
      </c>
      <c r="I23" s="23">
        <v>96</v>
      </c>
      <c r="J23" s="26">
        <f t="shared" si="1"/>
        <v>0.49230769230769234</v>
      </c>
      <c r="K23" s="26" t="str">
        <f t="shared" si="2"/>
        <v>No</v>
      </c>
      <c r="L23" s="23">
        <v>33150</v>
      </c>
      <c r="M23" s="27" t="str">
        <f t="shared" si="3"/>
        <v>Low</v>
      </c>
      <c r="N23" s="28"/>
      <c r="R23" s="30"/>
    </row>
    <row r="24" spans="1:18" ht="13.5" customHeight="1">
      <c r="A24" s="22" t="s">
        <v>10</v>
      </c>
      <c r="B24" s="23" t="s">
        <v>33</v>
      </c>
      <c r="C24" s="23" t="str">
        <f t="shared" si="0"/>
        <v>UK-West</v>
      </c>
      <c r="D24" s="24" t="s">
        <v>23</v>
      </c>
      <c r="E24" s="25" t="s">
        <v>44</v>
      </c>
      <c r="F24" s="22" t="s">
        <v>70</v>
      </c>
      <c r="G24" s="23" t="s">
        <v>71</v>
      </c>
      <c r="H24" s="23">
        <v>158</v>
      </c>
      <c r="I24" s="23">
        <v>92</v>
      </c>
      <c r="J24" s="26">
        <f t="shared" si="1"/>
        <v>0.58227848101265822</v>
      </c>
      <c r="K24" s="26" t="str">
        <f t="shared" si="2"/>
        <v>No</v>
      </c>
      <c r="L24" s="23">
        <v>30178</v>
      </c>
      <c r="M24" s="27" t="str">
        <f t="shared" si="3"/>
        <v>Low</v>
      </c>
      <c r="N24" s="28"/>
      <c r="R24" s="30"/>
    </row>
    <row r="25" spans="1:18" ht="13.5" customHeight="1">
      <c r="A25" s="22" t="s">
        <v>10</v>
      </c>
      <c r="B25" s="23" t="s">
        <v>17</v>
      </c>
      <c r="C25" s="23" t="str">
        <f t="shared" si="0"/>
        <v>UK-East</v>
      </c>
      <c r="D25" s="24" t="s">
        <v>18</v>
      </c>
      <c r="E25" s="25" t="s">
        <v>19</v>
      </c>
      <c r="F25" s="22" t="s">
        <v>58</v>
      </c>
      <c r="G25" s="23" t="s">
        <v>20</v>
      </c>
      <c r="H25" s="23">
        <v>185</v>
      </c>
      <c r="I25" s="23">
        <v>183</v>
      </c>
      <c r="J25" s="26">
        <f t="shared" si="1"/>
        <v>0.98918918918918919</v>
      </c>
      <c r="K25" s="26" t="str">
        <f t="shared" si="2"/>
        <v>No</v>
      </c>
      <c r="L25" s="23">
        <v>29785</v>
      </c>
      <c r="M25" s="27" t="str">
        <f t="shared" si="3"/>
        <v>Low</v>
      </c>
      <c r="N25" s="28"/>
      <c r="R25" s="30"/>
    </row>
    <row r="26" spans="1:18" ht="13.5" customHeight="1">
      <c r="A26" s="22" t="s">
        <v>10</v>
      </c>
      <c r="B26" s="23" t="s">
        <v>22</v>
      </c>
      <c r="C26" s="23" t="str">
        <f t="shared" si="0"/>
        <v>UK-South</v>
      </c>
      <c r="D26" s="24" t="s">
        <v>40</v>
      </c>
      <c r="E26" s="25" t="s">
        <v>30</v>
      </c>
      <c r="F26" s="22" t="s">
        <v>60</v>
      </c>
      <c r="G26" s="23" t="s">
        <v>61</v>
      </c>
      <c r="H26" s="23">
        <v>62</v>
      </c>
      <c r="I26" s="23">
        <v>57</v>
      </c>
      <c r="J26" s="26">
        <f t="shared" si="1"/>
        <v>0.91935483870967738</v>
      </c>
      <c r="K26" s="26" t="str">
        <f t="shared" si="2"/>
        <v>No</v>
      </c>
      <c r="L26" s="23">
        <v>26040</v>
      </c>
      <c r="M26" s="27" t="str">
        <f t="shared" si="3"/>
        <v>Low</v>
      </c>
      <c r="N26" s="28"/>
      <c r="R26" s="30"/>
    </row>
    <row r="27" spans="1:18" ht="13.5" customHeight="1">
      <c r="A27" s="22" t="s">
        <v>10</v>
      </c>
      <c r="B27" s="23" t="s">
        <v>11</v>
      </c>
      <c r="C27" s="23" t="str">
        <f t="shared" si="0"/>
        <v>UK-Central</v>
      </c>
      <c r="D27" s="24" t="s">
        <v>12</v>
      </c>
      <c r="E27" s="25" t="s">
        <v>13</v>
      </c>
      <c r="F27" s="22" t="s">
        <v>14</v>
      </c>
      <c r="G27" s="23" t="s">
        <v>15</v>
      </c>
      <c r="H27" s="23">
        <v>69</v>
      </c>
      <c r="I27" s="23">
        <v>12</v>
      </c>
      <c r="J27" s="26">
        <f t="shared" si="1"/>
        <v>0.17391304347826086</v>
      </c>
      <c r="K27" s="26" t="str">
        <f t="shared" si="2"/>
        <v>Yes</v>
      </c>
      <c r="L27" s="23">
        <v>25599</v>
      </c>
      <c r="M27" s="27" t="str">
        <f t="shared" si="3"/>
        <v>Low</v>
      </c>
      <c r="N27" s="28"/>
      <c r="R27" s="30"/>
    </row>
    <row r="28" spans="1:18" ht="13.5" customHeight="1">
      <c r="A28" s="22" t="s">
        <v>10</v>
      </c>
      <c r="B28" s="23" t="s">
        <v>11</v>
      </c>
      <c r="C28" s="23" t="str">
        <f t="shared" si="0"/>
        <v>UK-Central</v>
      </c>
      <c r="D28" s="24" t="s">
        <v>23</v>
      </c>
      <c r="E28" s="25" t="s">
        <v>24</v>
      </c>
      <c r="F28" s="22" t="s">
        <v>25</v>
      </c>
      <c r="G28" s="23" t="s">
        <v>59</v>
      </c>
      <c r="H28" s="23">
        <v>95</v>
      </c>
      <c r="I28" s="23">
        <v>87</v>
      </c>
      <c r="J28" s="26">
        <f t="shared" si="1"/>
        <v>0.91578947368421049</v>
      </c>
      <c r="K28" s="26" t="str">
        <f t="shared" si="2"/>
        <v>No</v>
      </c>
      <c r="L28" s="23">
        <v>25365</v>
      </c>
      <c r="M28" s="27" t="str">
        <f t="shared" si="3"/>
        <v>Low</v>
      </c>
      <c r="N28" s="28"/>
      <c r="R28" s="30"/>
    </row>
    <row r="29" spans="1:18" ht="13.5" customHeight="1">
      <c r="A29" s="22" t="s">
        <v>10</v>
      </c>
      <c r="B29" s="23" t="s">
        <v>17</v>
      </c>
      <c r="C29" s="23" t="str">
        <f t="shared" si="0"/>
        <v>UK-East</v>
      </c>
      <c r="D29" s="24" t="s">
        <v>46</v>
      </c>
      <c r="E29" s="25" t="s">
        <v>44</v>
      </c>
      <c r="F29" s="22" t="s">
        <v>70</v>
      </c>
      <c r="G29" s="23" t="s">
        <v>71</v>
      </c>
      <c r="H29" s="23">
        <v>106</v>
      </c>
      <c r="I29" s="23">
        <v>52</v>
      </c>
      <c r="J29" s="26">
        <f t="shared" si="1"/>
        <v>0.49056603773584906</v>
      </c>
      <c r="K29" s="26" t="str">
        <f t="shared" si="2"/>
        <v>No</v>
      </c>
      <c r="L29" s="23">
        <v>23744</v>
      </c>
      <c r="M29" s="27" t="str">
        <f t="shared" si="3"/>
        <v>Low</v>
      </c>
      <c r="N29" s="28"/>
      <c r="R29" s="30"/>
    </row>
    <row r="30" spans="1:18" ht="13.5" customHeight="1">
      <c r="A30" s="22" t="s">
        <v>10</v>
      </c>
      <c r="B30" s="23" t="s">
        <v>11</v>
      </c>
      <c r="C30" s="23" t="str">
        <f t="shared" si="0"/>
        <v>UK-Central</v>
      </c>
      <c r="D30" s="24" t="s">
        <v>53</v>
      </c>
      <c r="E30" s="25" t="s">
        <v>19</v>
      </c>
      <c r="F30" s="22" t="s">
        <v>58</v>
      </c>
      <c r="G30" s="23" t="s">
        <v>20</v>
      </c>
      <c r="H30" s="23">
        <v>131</v>
      </c>
      <c r="I30" s="23">
        <v>15</v>
      </c>
      <c r="J30" s="26">
        <f t="shared" si="1"/>
        <v>0.11450381679389313</v>
      </c>
      <c r="K30" s="26" t="str">
        <f t="shared" si="2"/>
        <v>Yes</v>
      </c>
      <c r="L30" s="23">
        <v>21746</v>
      </c>
      <c r="M30" s="27" t="str">
        <f t="shared" si="3"/>
        <v>Low</v>
      </c>
      <c r="N30" s="28"/>
      <c r="R30" s="30"/>
    </row>
    <row r="31" spans="1:18" ht="13.5" customHeight="1">
      <c r="A31" s="22" t="s">
        <v>10</v>
      </c>
      <c r="B31" s="23" t="s">
        <v>17</v>
      </c>
      <c r="C31" s="23" t="str">
        <f t="shared" si="0"/>
        <v>UK-East</v>
      </c>
      <c r="D31" s="24" t="s">
        <v>12</v>
      </c>
      <c r="E31" s="25" t="s">
        <v>13</v>
      </c>
      <c r="F31" s="22" t="s">
        <v>14</v>
      </c>
      <c r="G31" s="23" t="s">
        <v>15</v>
      </c>
      <c r="H31" s="23">
        <v>137</v>
      </c>
      <c r="I31" s="23">
        <v>4</v>
      </c>
      <c r="J31" s="26">
        <f t="shared" si="1"/>
        <v>2.9197080291970802E-2</v>
      </c>
      <c r="K31" s="26" t="str">
        <f t="shared" si="2"/>
        <v>Yes</v>
      </c>
      <c r="L31" s="23">
        <v>16577</v>
      </c>
      <c r="M31" s="33" t="str">
        <f t="shared" si="3"/>
        <v>Low</v>
      </c>
      <c r="N31" s="28"/>
      <c r="R31" s="30"/>
    </row>
    <row r="32" spans="1:18" ht="13.5" customHeight="1">
      <c r="A32" s="30"/>
      <c r="B32" s="30"/>
      <c r="C32" s="30"/>
      <c r="D32" s="31"/>
      <c r="E32" s="30"/>
      <c r="F32" s="30"/>
      <c r="G32" s="30"/>
      <c r="H32" s="30"/>
      <c r="I32" s="30"/>
      <c r="J32" s="34"/>
      <c r="K32" s="34"/>
      <c r="L32" s="30"/>
      <c r="M32" s="30"/>
      <c r="N32" s="30"/>
      <c r="R32" s="30"/>
    </row>
    <row r="33" spans="1:18" ht="13.5" customHeight="1">
      <c r="A33" s="30"/>
      <c r="B33" s="30"/>
      <c r="C33" s="30"/>
      <c r="D33" s="31"/>
      <c r="E33" s="30"/>
      <c r="G33" s="30"/>
      <c r="H33" s="30"/>
      <c r="I33" s="30"/>
      <c r="J33" s="34"/>
      <c r="K33" s="34"/>
      <c r="L33" s="30"/>
      <c r="M33" s="30"/>
      <c r="N33" s="30"/>
      <c r="R33" s="30"/>
    </row>
    <row r="34" spans="1:18" ht="10.8" customHeight="1">
      <c r="A34" s="30"/>
      <c r="B34" s="30"/>
      <c r="C34" s="30"/>
      <c r="D34" s="31"/>
      <c r="E34" s="30"/>
      <c r="H34" s="30"/>
      <c r="I34" s="30"/>
      <c r="J34" s="34"/>
      <c r="K34" s="34"/>
      <c r="L34" s="30"/>
      <c r="M34" s="30"/>
      <c r="N34" s="30"/>
      <c r="R34" s="30"/>
    </row>
    <row r="35" spans="1:18" ht="21" customHeight="1">
      <c r="A35" s="35"/>
      <c r="B35" s="35"/>
      <c r="C35" s="30"/>
      <c r="D35" s="31"/>
      <c r="E35" s="30"/>
      <c r="H35" s="30"/>
      <c r="I35" s="30"/>
      <c r="J35" s="34"/>
      <c r="K35" s="34"/>
      <c r="L35" s="30"/>
      <c r="M35" s="30"/>
      <c r="N35" s="30"/>
      <c r="R35" s="30"/>
    </row>
    <row r="36" spans="1:18" ht="13.5" customHeight="1">
      <c r="C36" s="30"/>
      <c r="D36" s="31"/>
      <c r="E36" s="30"/>
      <c r="H36" s="30"/>
      <c r="I36" s="30"/>
      <c r="J36" s="34"/>
      <c r="K36" s="34"/>
      <c r="L36" s="30"/>
      <c r="M36" s="30"/>
      <c r="N36" s="30"/>
      <c r="R36" s="30"/>
    </row>
    <row r="37" spans="1:18" ht="13.8">
      <c r="C37" s="30"/>
      <c r="D37" s="31"/>
      <c r="E37" s="30"/>
      <c r="H37" s="30"/>
      <c r="I37" s="30"/>
      <c r="J37" s="34"/>
      <c r="K37" s="34"/>
      <c r="L37" s="30"/>
      <c r="M37" s="30"/>
      <c r="N37" s="30"/>
      <c r="R37" s="30"/>
    </row>
    <row r="38" spans="1:18" ht="13.8">
      <c r="C38" s="30"/>
      <c r="D38" s="31"/>
      <c r="E38" s="30"/>
      <c r="H38" s="30"/>
      <c r="I38" s="30"/>
      <c r="J38" s="39" t="s">
        <v>88</v>
      </c>
      <c r="K38" s="39"/>
      <c r="L38" s="30"/>
      <c r="M38" s="30"/>
      <c r="N38" s="30"/>
      <c r="R38" s="30"/>
    </row>
    <row r="39" spans="1:18" ht="13.5" customHeight="1">
      <c r="C39" s="30"/>
      <c r="D39" s="31"/>
      <c r="E39" s="30"/>
      <c r="H39" s="30"/>
      <c r="I39" s="30"/>
      <c r="J39" s="39"/>
      <c r="K39" s="39"/>
      <c r="L39" s="30"/>
      <c r="M39" s="30"/>
      <c r="N39" s="30"/>
      <c r="R39" s="30"/>
    </row>
    <row r="40" spans="1:18" ht="13.5" customHeight="1">
      <c r="C40" s="30"/>
      <c r="D40" s="31"/>
      <c r="E40" s="30"/>
      <c r="H40" s="30"/>
      <c r="I40" s="30"/>
      <c r="J40" s="36" t="s">
        <v>85</v>
      </c>
      <c r="K40" s="21" t="s">
        <v>87</v>
      </c>
      <c r="L40" s="30"/>
      <c r="M40" s="30"/>
      <c r="N40" s="30"/>
      <c r="R40" s="30"/>
    </row>
    <row r="41" spans="1:18" ht="13.5" customHeight="1">
      <c r="C41" s="30"/>
      <c r="D41" s="31"/>
      <c r="E41" s="30"/>
      <c r="H41" s="30"/>
      <c r="J41" s="37" t="s">
        <v>25</v>
      </c>
      <c r="K41" s="21">
        <v>947</v>
      </c>
      <c r="L41" s="30"/>
      <c r="M41" s="30"/>
      <c r="N41" s="30"/>
      <c r="R41" s="30"/>
    </row>
    <row r="42" spans="1:18" ht="13.5" customHeight="1">
      <c r="C42" s="30"/>
      <c r="D42" s="31"/>
      <c r="E42" s="30"/>
      <c r="H42" s="30"/>
      <c r="J42" s="37" t="s">
        <v>66</v>
      </c>
      <c r="K42" s="21">
        <v>854</v>
      </c>
      <c r="L42" s="30"/>
      <c r="M42" s="30"/>
      <c r="N42" s="30"/>
      <c r="R42" s="30"/>
    </row>
    <row r="43" spans="1:18" ht="13.5" customHeight="1">
      <c r="C43" s="30"/>
      <c r="D43" s="31"/>
      <c r="E43" s="30"/>
      <c r="H43" s="42"/>
      <c r="J43" s="37" t="s">
        <v>64</v>
      </c>
      <c r="K43" s="21">
        <v>838</v>
      </c>
      <c r="L43" s="30"/>
      <c r="M43" s="30"/>
      <c r="N43" s="30"/>
      <c r="O43" s="30"/>
      <c r="P43" s="30"/>
      <c r="Q43" s="30"/>
      <c r="R43" s="30"/>
    </row>
    <row r="44" spans="1:18" ht="13.5" customHeight="1">
      <c r="C44" s="30"/>
      <c r="D44" s="31"/>
      <c r="E44" s="30"/>
      <c r="H44" s="30"/>
      <c r="J44" s="37" t="s">
        <v>60</v>
      </c>
      <c r="K44" s="21">
        <v>834</v>
      </c>
      <c r="L44" s="30"/>
      <c r="M44" s="30"/>
      <c r="N44" s="30"/>
      <c r="O44" s="30"/>
      <c r="P44" s="30"/>
      <c r="Q44" s="30"/>
      <c r="R44" s="30"/>
    </row>
    <row r="45" spans="1:18" ht="13.5" customHeight="1">
      <c r="C45" s="30"/>
      <c r="D45" s="31"/>
      <c r="E45" s="30"/>
      <c r="H45" s="30"/>
      <c r="J45" s="37" t="s">
        <v>74</v>
      </c>
      <c r="K45" s="21">
        <v>741</v>
      </c>
      <c r="L45" s="30"/>
      <c r="M45" s="30"/>
      <c r="N45" s="30"/>
      <c r="O45" s="30"/>
      <c r="P45" s="30"/>
      <c r="Q45" s="30"/>
      <c r="R45" s="30"/>
    </row>
    <row r="46" spans="1:18" ht="13.5" customHeight="1">
      <c r="C46" s="30"/>
      <c r="D46" s="31"/>
      <c r="E46" s="30"/>
      <c r="H46" s="30"/>
      <c r="J46" s="37" t="s">
        <v>14</v>
      </c>
      <c r="K46" s="21">
        <v>697</v>
      </c>
      <c r="L46" s="30"/>
      <c r="M46" s="30"/>
      <c r="N46" s="30"/>
      <c r="O46" s="30"/>
      <c r="P46" s="30"/>
      <c r="Q46" s="30"/>
      <c r="R46" s="30"/>
    </row>
    <row r="47" spans="1:18" ht="13.5" customHeight="1">
      <c r="C47" s="30"/>
      <c r="D47" s="31"/>
      <c r="E47" s="30"/>
      <c r="H47" s="30"/>
      <c r="J47" s="37" t="s">
        <v>76</v>
      </c>
      <c r="K47" s="21">
        <v>641</v>
      </c>
      <c r="L47" s="30"/>
      <c r="M47" s="30"/>
      <c r="N47" s="30"/>
      <c r="O47" s="30"/>
      <c r="P47" s="30"/>
      <c r="Q47" s="30"/>
      <c r="R47" s="30"/>
    </row>
    <row r="48" spans="1:18" ht="13.5" customHeight="1">
      <c r="C48" s="30"/>
      <c r="D48" s="31"/>
      <c r="E48" s="30"/>
      <c r="F48" s="30"/>
      <c r="G48" s="30"/>
      <c r="H48" s="30"/>
      <c r="J48" s="37" t="s">
        <v>62</v>
      </c>
      <c r="K48" s="21">
        <v>560</v>
      </c>
      <c r="L48" s="30"/>
      <c r="M48" s="30"/>
      <c r="N48" s="30"/>
      <c r="O48" s="30"/>
      <c r="P48" s="30"/>
      <c r="Q48" s="30"/>
      <c r="R48" s="30"/>
    </row>
    <row r="49" spans="1:18" ht="13.5" customHeight="1">
      <c r="C49" s="30"/>
      <c r="D49" s="31"/>
      <c r="E49" s="30"/>
      <c r="F49" s="30"/>
      <c r="G49" s="30"/>
      <c r="H49" s="30"/>
      <c r="J49" s="37" t="s">
        <v>72</v>
      </c>
      <c r="K49" s="21">
        <v>527</v>
      </c>
      <c r="L49" s="30"/>
      <c r="M49" s="30"/>
      <c r="N49" s="30"/>
      <c r="O49" s="30"/>
      <c r="P49" s="30"/>
      <c r="Q49" s="30"/>
      <c r="R49" s="30"/>
    </row>
    <row r="50" spans="1:18" ht="13.5" customHeight="1">
      <c r="C50" s="30"/>
      <c r="D50" s="31"/>
      <c r="E50" s="30"/>
      <c r="F50" s="30"/>
      <c r="G50" s="30"/>
      <c r="H50" s="30"/>
      <c r="J50" s="37" t="s">
        <v>68</v>
      </c>
      <c r="K50" s="21">
        <v>446</v>
      </c>
      <c r="L50" s="30"/>
      <c r="M50" s="30"/>
      <c r="N50" s="30"/>
      <c r="O50" s="30"/>
      <c r="P50" s="30"/>
      <c r="Q50" s="30"/>
      <c r="R50" s="30"/>
    </row>
    <row r="51" spans="1:18" ht="13.5" customHeight="1">
      <c r="A51" s="30"/>
      <c r="B51" s="30"/>
      <c r="C51" s="30"/>
      <c r="D51" s="31"/>
      <c r="E51" s="30"/>
      <c r="F51" s="30"/>
      <c r="G51" s="30"/>
      <c r="H51" s="30"/>
      <c r="J51" s="37" t="s">
        <v>58</v>
      </c>
      <c r="K51" s="21">
        <v>316</v>
      </c>
      <c r="L51" s="30"/>
      <c r="M51" s="30"/>
      <c r="N51" s="30"/>
      <c r="O51" s="30"/>
      <c r="P51" s="30"/>
      <c r="Q51" s="30"/>
      <c r="R51" s="30"/>
    </row>
    <row r="52" spans="1:18" ht="13.5" customHeight="1">
      <c r="A52" s="30"/>
      <c r="B52" s="30"/>
      <c r="C52" s="30"/>
      <c r="D52" s="31"/>
      <c r="E52" s="30"/>
      <c r="F52" s="30"/>
      <c r="G52" s="30"/>
      <c r="H52" s="30"/>
      <c r="J52" s="37" t="s">
        <v>70</v>
      </c>
      <c r="K52" s="21">
        <v>264</v>
      </c>
      <c r="L52" s="30"/>
      <c r="M52" s="30"/>
      <c r="N52" s="30"/>
      <c r="O52" s="30"/>
      <c r="P52" s="30"/>
      <c r="Q52" s="30"/>
      <c r="R52" s="30"/>
    </row>
    <row r="53" spans="1:18" ht="13.5" customHeight="1">
      <c r="A53" s="30"/>
      <c r="B53" s="30"/>
      <c r="C53" s="30"/>
      <c r="D53" s="31"/>
      <c r="E53" s="30"/>
      <c r="F53" s="30"/>
      <c r="G53" s="30"/>
      <c r="H53" s="30"/>
      <c r="I53" s="30"/>
      <c r="J53" s="37" t="s">
        <v>86</v>
      </c>
      <c r="K53" s="21">
        <v>7665</v>
      </c>
      <c r="L53" s="30"/>
      <c r="M53" s="30"/>
      <c r="N53" s="30"/>
      <c r="O53" s="30"/>
      <c r="P53" s="30"/>
      <c r="Q53" s="30"/>
      <c r="R53" s="30"/>
    </row>
    <row r="54" spans="1:18" ht="13.5" customHeight="1">
      <c r="A54" s="30"/>
      <c r="B54" s="30"/>
      <c r="C54" s="30"/>
      <c r="D54" s="31"/>
      <c r="E54" s="30"/>
      <c r="F54" s="30"/>
      <c r="G54" s="30"/>
      <c r="H54" s="30"/>
      <c r="I54" s="30"/>
      <c r="J54" s="34"/>
      <c r="K54" s="34"/>
      <c r="L54" s="30"/>
      <c r="M54" s="30"/>
      <c r="N54" s="30"/>
      <c r="O54" s="30"/>
      <c r="P54" s="30"/>
      <c r="Q54" s="30"/>
      <c r="R54" s="30"/>
    </row>
    <row r="55" spans="1:18" ht="13.5" customHeight="1">
      <c r="A55" s="30"/>
      <c r="B55" s="30"/>
      <c r="C55" s="30"/>
      <c r="D55" s="31"/>
      <c r="E55" s="30"/>
      <c r="F55" s="30"/>
      <c r="G55" s="30"/>
      <c r="H55" s="30"/>
      <c r="I55" s="30"/>
      <c r="J55" s="34"/>
      <c r="K55" s="34"/>
      <c r="L55" s="30"/>
      <c r="M55" s="30"/>
      <c r="N55" s="30"/>
      <c r="O55" s="30"/>
      <c r="P55" s="30"/>
      <c r="Q55" s="30"/>
      <c r="R55" s="30"/>
    </row>
    <row r="56" spans="1:18" ht="13.5" customHeight="1">
      <c r="A56" s="30"/>
      <c r="B56" s="30"/>
      <c r="C56" s="30"/>
      <c r="D56" s="31"/>
      <c r="E56" s="30"/>
      <c r="F56" s="30"/>
      <c r="G56" s="30"/>
      <c r="H56" s="30"/>
      <c r="I56" s="30"/>
      <c r="J56" s="34"/>
      <c r="K56" s="34"/>
      <c r="L56" s="30"/>
      <c r="M56" s="30"/>
      <c r="N56" s="30"/>
      <c r="O56" s="30"/>
      <c r="P56" s="30"/>
      <c r="Q56" s="30"/>
      <c r="R56" s="30"/>
    </row>
    <row r="57" spans="1:18" ht="13.5" customHeight="1">
      <c r="A57" s="30"/>
      <c r="B57" s="30"/>
      <c r="C57" s="30"/>
      <c r="D57" s="31"/>
      <c r="E57" s="30"/>
      <c r="F57" s="30"/>
      <c r="G57" s="30"/>
      <c r="H57" s="30"/>
      <c r="I57" s="30"/>
      <c r="J57" s="34"/>
      <c r="K57" s="34"/>
      <c r="L57" s="30"/>
      <c r="M57" s="30"/>
      <c r="N57" s="30"/>
      <c r="O57" s="30"/>
      <c r="P57" s="30"/>
      <c r="Q57" s="30"/>
      <c r="R57" s="30"/>
    </row>
    <row r="58" spans="1:18" ht="13.5" customHeight="1">
      <c r="A58" s="30"/>
      <c r="B58" s="30"/>
      <c r="C58" s="30"/>
      <c r="D58" s="31"/>
      <c r="E58" s="30"/>
      <c r="F58" s="30"/>
      <c r="G58" s="30"/>
      <c r="H58" s="30"/>
      <c r="I58" s="30"/>
      <c r="J58" s="34"/>
      <c r="K58" s="34"/>
      <c r="L58" s="30"/>
      <c r="M58" s="30"/>
      <c r="N58" s="30"/>
      <c r="O58" s="30"/>
      <c r="P58" s="30"/>
      <c r="Q58" s="30"/>
      <c r="R58" s="30"/>
    </row>
    <row r="59" spans="1:18" ht="13.5" customHeight="1">
      <c r="A59" s="30"/>
      <c r="B59" s="30"/>
      <c r="C59" s="30"/>
      <c r="D59" s="31"/>
      <c r="E59" s="30"/>
      <c r="F59" s="30"/>
      <c r="G59" s="30"/>
      <c r="H59" s="30"/>
      <c r="I59" s="30"/>
      <c r="J59" s="34"/>
      <c r="K59" s="34"/>
      <c r="L59" s="30"/>
      <c r="M59" s="30"/>
      <c r="N59" s="30"/>
      <c r="O59" s="30"/>
      <c r="P59" s="30"/>
      <c r="Q59" s="30"/>
      <c r="R59" s="30"/>
    </row>
    <row r="60" spans="1:18" ht="13.5" customHeight="1">
      <c r="A60" s="30"/>
      <c r="B60" s="30"/>
      <c r="C60" s="30"/>
      <c r="D60" s="31"/>
      <c r="E60" s="30"/>
      <c r="F60" s="30"/>
      <c r="G60" s="30"/>
      <c r="H60" s="30"/>
      <c r="I60" s="30"/>
      <c r="J60" s="34"/>
      <c r="K60" s="34"/>
      <c r="L60" s="30"/>
      <c r="M60" s="30"/>
      <c r="N60" s="30"/>
      <c r="O60" s="30"/>
      <c r="P60" s="30"/>
      <c r="Q60" s="30"/>
      <c r="R60" s="30"/>
    </row>
    <row r="61" spans="1:18" ht="13.5" customHeight="1">
      <c r="A61" s="30"/>
      <c r="B61" s="30"/>
      <c r="C61" s="30"/>
      <c r="D61" s="31"/>
      <c r="E61" s="30"/>
      <c r="F61" s="30"/>
      <c r="G61" s="30"/>
      <c r="H61" s="30"/>
      <c r="I61" s="30"/>
      <c r="J61" s="34"/>
      <c r="K61" s="34"/>
      <c r="L61" s="30"/>
      <c r="M61" s="30"/>
      <c r="N61" s="30"/>
      <c r="O61" s="30"/>
      <c r="P61" s="30"/>
      <c r="Q61" s="30"/>
      <c r="R61" s="30"/>
    </row>
    <row r="62" spans="1:18" ht="13.5" customHeight="1">
      <c r="A62" s="30"/>
      <c r="B62" s="30"/>
      <c r="C62" s="30"/>
      <c r="D62" s="31"/>
      <c r="E62" s="30"/>
      <c r="F62" s="30"/>
      <c r="G62" s="30"/>
      <c r="H62" s="30"/>
      <c r="I62" s="30"/>
      <c r="J62" s="34"/>
      <c r="K62" s="34"/>
      <c r="L62" s="30"/>
      <c r="M62" s="30"/>
      <c r="N62" s="30"/>
      <c r="O62" s="30"/>
      <c r="P62" s="30"/>
      <c r="Q62" s="30"/>
      <c r="R62" s="30"/>
    </row>
    <row r="63" spans="1:18" ht="13.5" customHeight="1">
      <c r="A63" s="30"/>
      <c r="B63" s="30"/>
      <c r="C63" s="30"/>
      <c r="D63" s="31"/>
      <c r="E63" s="30"/>
      <c r="F63" s="30"/>
      <c r="G63" s="30"/>
      <c r="H63" s="30"/>
      <c r="I63" s="30"/>
      <c r="J63" s="34"/>
      <c r="K63" s="34"/>
      <c r="L63" s="30"/>
      <c r="M63" s="30"/>
      <c r="N63" s="30"/>
      <c r="O63" s="30"/>
      <c r="P63" s="30"/>
      <c r="Q63" s="30"/>
      <c r="R63" s="30"/>
    </row>
    <row r="64" spans="1:18" ht="13.5" customHeight="1">
      <c r="A64" s="30"/>
      <c r="B64" s="30"/>
      <c r="C64" s="30"/>
      <c r="D64" s="31"/>
      <c r="E64" s="30"/>
      <c r="F64" s="30"/>
      <c r="G64" s="30"/>
      <c r="H64" s="30"/>
      <c r="I64" s="30"/>
      <c r="J64" s="34"/>
      <c r="K64" s="34"/>
      <c r="L64" s="30"/>
      <c r="M64" s="30"/>
      <c r="N64" s="30"/>
      <c r="O64" s="30"/>
      <c r="P64" s="30"/>
      <c r="Q64" s="30"/>
      <c r="R64" s="30"/>
    </row>
    <row r="65" spans="1:18" ht="13.5" customHeight="1">
      <c r="A65" s="30"/>
      <c r="B65" s="30"/>
      <c r="C65" s="30"/>
      <c r="D65" s="31"/>
      <c r="E65" s="30"/>
      <c r="F65" s="30"/>
      <c r="G65" s="30"/>
      <c r="H65" s="30"/>
      <c r="I65" s="30"/>
      <c r="J65" s="34"/>
      <c r="K65" s="34"/>
      <c r="L65" s="30"/>
      <c r="M65" s="30"/>
      <c r="N65" s="30"/>
      <c r="O65" s="30"/>
      <c r="P65" s="30"/>
      <c r="Q65" s="30"/>
      <c r="R65" s="30"/>
    </row>
    <row r="66" spans="1:18" ht="13.5" customHeight="1">
      <c r="A66" s="30"/>
      <c r="B66" s="30"/>
      <c r="C66" s="30"/>
      <c r="D66" s="31"/>
      <c r="E66" s="30"/>
      <c r="F66" s="30"/>
      <c r="G66" s="30"/>
      <c r="H66" s="30"/>
      <c r="I66" s="30"/>
      <c r="J66" s="34"/>
      <c r="K66" s="34"/>
      <c r="L66" s="30"/>
      <c r="M66" s="30"/>
      <c r="N66" s="30"/>
      <c r="O66" s="30"/>
      <c r="P66" s="30"/>
      <c r="Q66" s="30"/>
      <c r="R66" s="30"/>
    </row>
    <row r="67" spans="1:18" ht="13.5" customHeight="1">
      <c r="A67" s="30"/>
      <c r="B67" s="30"/>
      <c r="C67" s="30"/>
      <c r="D67" s="31"/>
      <c r="E67" s="30"/>
      <c r="F67" s="30"/>
      <c r="G67" s="30"/>
      <c r="H67" s="30"/>
      <c r="I67" s="30"/>
      <c r="J67" s="34"/>
      <c r="K67" s="34"/>
      <c r="L67" s="30"/>
      <c r="M67" s="30"/>
      <c r="N67" s="30"/>
      <c r="O67" s="30"/>
      <c r="P67" s="30"/>
      <c r="Q67" s="30"/>
      <c r="R67" s="30"/>
    </row>
    <row r="68" spans="1:18" ht="13.5" customHeight="1">
      <c r="A68" s="30"/>
      <c r="B68" s="30"/>
      <c r="C68" s="30"/>
      <c r="D68" s="31"/>
      <c r="E68" s="30"/>
      <c r="F68" s="30"/>
      <c r="G68" s="30"/>
      <c r="H68" s="30"/>
      <c r="I68" s="30"/>
      <c r="J68" s="34"/>
      <c r="K68" s="34"/>
      <c r="L68" s="30"/>
      <c r="M68" s="30"/>
      <c r="N68" s="30"/>
      <c r="O68" s="30"/>
      <c r="P68" s="30"/>
      <c r="Q68" s="30"/>
      <c r="R68" s="30"/>
    </row>
    <row r="69" spans="1:18" ht="13.5" customHeight="1">
      <c r="A69" s="30"/>
      <c r="B69" s="30"/>
      <c r="C69" s="30"/>
      <c r="D69" s="31"/>
      <c r="E69" s="30"/>
      <c r="F69" s="30"/>
      <c r="G69" s="30"/>
      <c r="H69" s="30"/>
      <c r="I69" s="30"/>
      <c r="J69" s="34"/>
      <c r="K69" s="34"/>
      <c r="L69" s="30"/>
      <c r="M69" s="30"/>
      <c r="N69" s="30"/>
      <c r="O69" s="30"/>
      <c r="P69" s="30"/>
      <c r="Q69" s="30"/>
      <c r="R69" s="30"/>
    </row>
    <row r="70" spans="1:18" ht="13.5" customHeight="1">
      <c r="A70" s="30"/>
      <c r="B70" s="30"/>
      <c r="C70" s="30"/>
      <c r="D70" s="31"/>
      <c r="E70" s="30"/>
      <c r="F70" s="30"/>
      <c r="G70" s="30"/>
      <c r="H70" s="30"/>
      <c r="I70" s="30"/>
      <c r="J70" s="34"/>
      <c r="K70" s="34"/>
      <c r="L70" s="30"/>
      <c r="M70" s="30"/>
      <c r="N70" s="30"/>
      <c r="O70" s="30"/>
      <c r="P70" s="30"/>
      <c r="Q70" s="30"/>
      <c r="R70" s="30"/>
    </row>
    <row r="71" spans="1:18" ht="13.5" customHeight="1">
      <c r="A71" s="30"/>
      <c r="B71" s="30"/>
      <c r="C71" s="30"/>
      <c r="D71" s="31"/>
      <c r="E71" s="30"/>
      <c r="F71" s="30"/>
      <c r="G71" s="30"/>
      <c r="H71" s="30"/>
      <c r="I71" s="30"/>
      <c r="J71" s="34"/>
      <c r="K71" s="34"/>
      <c r="L71" s="30"/>
      <c r="M71" s="30"/>
      <c r="N71" s="30"/>
      <c r="O71" s="30"/>
      <c r="P71" s="30"/>
      <c r="Q71" s="30"/>
      <c r="R71" s="30"/>
    </row>
    <row r="72" spans="1:18" ht="13.5" customHeight="1">
      <c r="A72" s="30"/>
      <c r="B72" s="30"/>
      <c r="C72" s="30"/>
      <c r="D72" s="31"/>
      <c r="E72" s="30"/>
      <c r="F72" s="30"/>
      <c r="G72" s="30"/>
      <c r="H72" s="30"/>
      <c r="I72" s="30"/>
      <c r="J72" s="34"/>
      <c r="K72" s="34"/>
      <c r="L72" s="30"/>
      <c r="M72" s="30"/>
      <c r="N72" s="30"/>
      <c r="O72" s="30"/>
      <c r="P72" s="30"/>
      <c r="Q72" s="30"/>
      <c r="R72" s="30"/>
    </row>
    <row r="73" spans="1:18" ht="13.5" customHeight="1">
      <c r="A73" s="30"/>
      <c r="B73" s="30"/>
      <c r="C73" s="30"/>
      <c r="D73" s="31"/>
      <c r="E73" s="30"/>
      <c r="F73" s="30"/>
      <c r="G73" s="30"/>
      <c r="H73" s="30"/>
      <c r="I73" s="30"/>
      <c r="J73" s="34"/>
      <c r="K73" s="34"/>
      <c r="L73" s="30"/>
      <c r="M73" s="30"/>
      <c r="N73" s="30"/>
      <c r="O73" s="30"/>
      <c r="P73" s="30"/>
      <c r="Q73" s="30"/>
      <c r="R73" s="30"/>
    </row>
    <row r="74" spans="1:18" ht="13.5" customHeight="1">
      <c r="A74" s="30"/>
      <c r="B74" s="30"/>
      <c r="C74" s="30"/>
      <c r="D74" s="31"/>
      <c r="E74" s="30"/>
      <c r="F74" s="30"/>
      <c r="G74" s="30"/>
      <c r="H74" s="30"/>
      <c r="I74" s="30"/>
      <c r="J74" s="34"/>
      <c r="K74" s="34"/>
      <c r="L74" s="30"/>
      <c r="M74" s="30"/>
      <c r="N74" s="30"/>
      <c r="O74" s="30"/>
      <c r="P74" s="30"/>
      <c r="Q74" s="30"/>
      <c r="R74" s="30"/>
    </row>
    <row r="75" spans="1:18" ht="13.5" customHeight="1">
      <c r="A75" s="30"/>
      <c r="B75" s="30"/>
      <c r="C75" s="30"/>
      <c r="D75" s="31"/>
      <c r="E75" s="30"/>
      <c r="F75" s="30"/>
      <c r="G75" s="30"/>
      <c r="H75" s="30"/>
      <c r="I75" s="30"/>
      <c r="J75" s="34"/>
      <c r="K75" s="34"/>
      <c r="L75" s="30"/>
      <c r="M75" s="30"/>
      <c r="N75" s="30"/>
      <c r="O75" s="30"/>
      <c r="P75" s="30"/>
      <c r="Q75" s="30"/>
      <c r="R75" s="30"/>
    </row>
    <row r="76" spans="1:18" ht="13.5" customHeight="1">
      <c r="A76" s="30"/>
      <c r="B76" s="30"/>
      <c r="C76" s="30"/>
      <c r="D76" s="31"/>
      <c r="E76" s="30"/>
      <c r="F76" s="30"/>
      <c r="G76" s="30"/>
      <c r="H76" s="30"/>
      <c r="I76" s="30"/>
      <c r="J76" s="34"/>
      <c r="K76" s="34"/>
      <c r="L76" s="30"/>
      <c r="M76" s="30"/>
      <c r="N76" s="30"/>
      <c r="O76" s="30"/>
      <c r="P76" s="30"/>
      <c r="Q76" s="30"/>
      <c r="R76" s="30"/>
    </row>
    <row r="77" spans="1:18" ht="13.5" customHeight="1">
      <c r="A77" s="30"/>
      <c r="B77" s="30"/>
      <c r="C77" s="30"/>
      <c r="D77" s="31"/>
      <c r="E77" s="30"/>
      <c r="F77" s="30"/>
      <c r="G77" s="30"/>
      <c r="H77" s="30"/>
      <c r="I77" s="30"/>
      <c r="J77" s="34"/>
      <c r="K77" s="34"/>
      <c r="L77" s="30"/>
      <c r="M77" s="30"/>
      <c r="N77" s="30"/>
      <c r="O77" s="30"/>
      <c r="P77" s="30"/>
      <c r="Q77" s="30"/>
      <c r="R77" s="30"/>
    </row>
    <row r="78" spans="1:18" ht="13.5" customHeight="1">
      <c r="A78" s="30"/>
      <c r="B78" s="30"/>
      <c r="C78" s="30"/>
      <c r="D78" s="31"/>
      <c r="E78" s="30"/>
      <c r="F78" s="30"/>
      <c r="G78" s="30"/>
      <c r="H78" s="30"/>
      <c r="I78" s="30"/>
      <c r="J78" s="34"/>
      <c r="K78" s="34"/>
      <c r="L78" s="30"/>
      <c r="M78" s="30"/>
      <c r="N78" s="30"/>
      <c r="O78" s="30"/>
      <c r="P78" s="30"/>
      <c r="Q78" s="30"/>
      <c r="R78" s="30"/>
    </row>
    <row r="79" spans="1:18" ht="13.5" customHeight="1">
      <c r="A79" s="30"/>
      <c r="B79" s="30"/>
      <c r="C79" s="30"/>
      <c r="D79" s="31"/>
      <c r="E79" s="30"/>
      <c r="F79" s="30"/>
      <c r="G79" s="30"/>
      <c r="H79" s="30"/>
      <c r="I79" s="30"/>
      <c r="J79" s="34"/>
      <c r="K79" s="34"/>
      <c r="L79" s="30"/>
      <c r="M79" s="30"/>
      <c r="N79" s="30"/>
      <c r="O79" s="30"/>
      <c r="P79" s="30"/>
      <c r="Q79" s="30"/>
      <c r="R79" s="30"/>
    </row>
    <row r="80" spans="1:18" ht="13.5" customHeight="1">
      <c r="A80" s="30"/>
      <c r="B80" s="30"/>
      <c r="C80" s="30"/>
      <c r="D80" s="31"/>
      <c r="E80" s="30"/>
      <c r="F80" s="30"/>
      <c r="G80" s="30"/>
      <c r="H80" s="30"/>
      <c r="I80" s="30"/>
      <c r="J80" s="34"/>
      <c r="K80" s="34"/>
      <c r="L80" s="30"/>
      <c r="M80" s="30"/>
      <c r="N80" s="30"/>
      <c r="O80" s="30"/>
      <c r="P80" s="30"/>
      <c r="Q80" s="30"/>
      <c r="R80" s="30"/>
    </row>
    <row r="81" spans="1:18" ht="13.5" customHeight="1">
      <c r="A81" s="30"/>
      <c r="B81" s="30"/>
      <c r="C81" s="30"/>
      <c r="D81" s="31"/>
      <c r="E81" s="30"/>
      <c r="F81" s="30"/>
      <c r="G81" s="30"/>
      <c r="H81" s="30"/>
      <c r="I81" s="30"/>
      <c r="J81" s="34"/>
      <c r="K81" s="34"/>
      <c r="L81" s="30"/>
      <c r="M81" s="30"/>
      <c r="N81" s="30"/>
      <c r="O81" s="30"/>
      <c r="P81" s="30"/>
      <c r="Q81" s="30"/>
      <c r="R81" s="30"/>
    </row>
    <row r="82" spans="1:18" ht="13.5" customHeight="1">
      <c r="A82" s="30"/>
      <c r="B82" s="30"/>
      <c r="C82" s="30"/>
      <c r="D82" s="31"/>
      <c r="E82" s="30"/>
      <c r="F82" s="30"/>
      <c r="G82" s="30"/>
      <c r="H82" s="30"/>
      <c r="I82" s="30"/>
      <c r="J82" s="34"/>
      <c r="K82" s="34"/>
      <c r="L82" s="30"/>
      <c r="M82" s="30"/>
      <c r="N82" s="30"/>
      <c r="O82" s="30"/>
      <c r="P82" s="30"/>
      <c r="Q82" s="30"/>
      <c r="R82" s="30"/>
    </row>
    <row r="83" spans="1:18" ht="13.5" customHeight="1">
      <c r="A83" s="30"/>
      <c r="B83" s="30"/>
      <c r="C83" s="30"/>
      <c r="D83" s="31"/>
      <c r="E83" s="30"/>
      <c r="F83" s="30"/>
      <c r="G83" s="30"/>
      <c r="H83" s="30"/>
      <c r="I83" s="30"/>
      <c r="J83" s="34"/>
      <c r="K83" s="34"/>
      <c r="L83" s="30"/>
      <c r="M83" s="30"/>
      <c r="N83" s="30"/>
      <c r="O83" s="30"/>
      <c r="P83" s="30"/>
      <c r="Q83" s="30"/>
      <c r="R83" s="30"/>
    </row>
    <row r="84" spans="1:18" ht="13.5" customHeight="1">
      <c r="A84" s="30"/>
      <c r="B84" s="30"/>
      <c r="C84" s="30"/>
      <c r="D84" s="31"/>
      <c r="E84" s="30"/>
      <c r="F84" s="30"/>
      <c r="G84" s="30"/>
      <c r="H84" s="30"/>
      <c r="I84" s="30"/>
      <c r="J84" s="34"/>
      <c r="K84" s="34"/>
      <c r="L84" s="30"/>
      <c r="M84" s="30"/>
      <c r="N84" s="30"/>
      <c r="O84" s="30"/>
      <c r="P84" s="30"/>
      <c r="Q84" s="30"/>
      <c r="R84" s="30"/>
    </row>
    <row r="85" spans="1:18" ht="13.5" customHeight="1">
      <c r="A85" s="30"/>
      <c r="B85" s="30"/>
      <c r="C85" s="30"/>
      <c r="D85" s="31"/>
      <c r="E85" s="30"/>
      <c r="F85" s="30"/>
      <c r="G85" s="30"/>
      <c r="H85" s="30"/>
      <c r="I85" s="30"/>
      <c r="J85" s="34"/>
      <c r="K85" s="34"/>
      <c r="L85" s="30"/>
      <c r="M85" s="30"/>
      <c r="N85" s="30"/>
      <c r="O85" s="30"/>
      <c r="P85" s="30"/>
      <c r="Q85" s="30"/>
      <c r="R85" s="30"/>
    </row>
    <row r="86" spans="1:18" ht="13.5" customHeight="1">
      <c r="A86" s="30"/>
      <c r="B86" s="30"/>
      <c r="C86" s="30"/>
      <c r="D86" s="31"/>
      <c r="E86" s="30"/>
      <c r="F86" s="30"/>
      <c r="G86" s="30"/>
      <c r="H86" s="30"/>
      <c r="I86" s="30"/>
      <c r="J86" s="34"/>
      <c r="K86" s="34"/>
      <c r="L86" s="30"/>
      <c r="M86" s="30"/>
      <c r="N86" s="30"/>
      <c r="O86" s="30"/>
      <c r="P86" s="30"/>
      <c r="Q86" s="30"/>
      <c r="R86" s="30"/>
    </row>
    <row r="87" spans="1:18" ht="13.5" customHeight="1">
      <c r="A87" s="30"/>
      <c r="B87" s="30"/>
      <c r="C87" s="30"/>
      <c r="D87" s="31"/>
      <c r="E87" s="30"/>
      <c r="F87" s="30"/>
      <c r="G87" s="30"/>
      <c r="H87" s="30"/>
      <c r="I87" s="30"/>
      <c r="J87" s="34"/>
      <c r="K87" s="34"/>
      <c r="L87" s="30"/>
      <c r="M87" s="30"/>
      <c r="N87" s="30"/>
      <c r="O87" s="30"/>
      <c r="P87" s="30"/>
      <c r="Q87" s="30"/>
      <c r="R87" s="30"/>
    </row>
    <row r="88" spans="1:18" ht="13.5" customHeight="1">
      <c r="A88" s="30"/>
      <c r="B88" s="30"/>
      <c r="C88" s="30"/>
      <c r="D88" s="31"/>
      <c r="E88" s="30"/>
      <c r="F88" s="30"/>
      <c r="G88" s="30"/>
      <c r="H88" s="30"/>
      <c r="I88" s="30"/>
      <c r="J88" s="34"/>
      <c r="K88" s="34"/>
      <c r="L88" s="30"/>
      <c r="M88" s="30"/>
      <c r="N88" s="30"/>
      <c r="O88" s="30"/>
      <c r="P88" s="30"/>
      <c r="Q88" s="30"/>
      <c r="R88" s="30"/>
    </row>
    <row r="89" spans="1:18" ht="13.5" customHeight="1">
      <c r="A89" s="30"/>
      <c r="B89" s="30"/>
      <c r="C89" s="30"/>
      <c r="D89" s="31"/>
      <c r="E89" s="30"/>
      <c r="F89" s="30"/>
      <c r="G89" s="30"/>
      <c r="H89" s="30"/>
      <c r="I89" s="30"/>
      <c r="J89" s="34"/>
      <c r="K89" s="34"/>
      <c r="L89" s="30"/>
      <c r="M89" s="30"/>
      <c r="N89" s="30"/>
      <c r="O89" s="30"/>
      <c r="P89" s="30"/>
      <c r="Q89" s="30"/>
      <c r="R89" s="30"/>
    </row>
    <row r="90" spans="1:18" ht="13.5" customHeight="1">
      <c r="A90" s="30"/>
      <c r="B90" s="30"/>
      <c r="C90" s="30"/>
      <c r="D90" s="31"/>
      <c r="E90" s="30"/>
      <c r="F90" s="30"/>
      <c r="G90" s="30"/>
      <c r="H90" s="30"/>
      <c r="I90" s="30"/>
      <c r="J90" s="34"/>
      <c r="K90" s="34"/>
      <c r="L90" s="30"/>
      <c r="M90" s="30"/>
      <c r="N90" s="30"/>
      <c r="O90" s="30"/>
      <c r="P90" s="30"/>
      <c r="Q90" s="30"/>
      <c r="R90" s="30"/>
    </row>
    <row r="91" spans="1:18" ht="13.5" customHeight="1">
      <c r="A91" s="30"/>
      <c r="B91" s="30"/>
      <c r="C91" s="30"/>
      <c r="D91" s="31"/>
      <c r="E91" s="30"/>
      <c r="F91" s="30"/>
      <c r="G91" s="30"/>
      <c r="H91" s="30"/>
      <c r="I91" s="30"/>
      <c r="J91" s="34"/>
      <c r="K91" s="34"/>
      <c r="L91" s="30"/>
      <c r="M91" s="30"/>
      <c r="N91" s="30"/>
      <c r="O91" s="30"/>
      <c r="P91" s="30"/>
      <c r="Q91" s="30"/>
      <c r="R91" s="30"/>
    </row>
    <row r="92" spans="1:18" ht="13.5" customHeight="1">
      <c r="A92" s="30"/>
      <c r="B92" s="30"/>
      <c r="C92" s="30"/>
      <c r="D92" s="31"/>
      <c r="E92" s="30"/>
      <c r="F92" s="30"/>
      <c r="G92" s="30"/>
      <c r="H92" s="30"/>
      <c r="I92" s="30"/>
      <c r="J92" s="34"/>
      <c r="K92" s="34"/>
      <c r="L92" s="30"/>
      <c r="M92" s="30"/>
      <c r="N92" s="30"/>
      <c r="O92" s="30"/>
      <c r="P92" s="30"/>
      <c r="Q92" s="30"/>
      <c r="R92" s="30"/>
    </row>
    <row r="93" spans="1:18" ht="13.5" customHeight="1">
      <c r="A93" s="30"/>
      <c r="B93" s="30"/>
      <c r="C93" s="30"/>
      <c r="D93" s="31"/>
      <c r="E93" s="30"/>
      <c r="F93" s="30"/>
      <c r="G93" s="30"/>
      <c r="H93" s="30"/>
      <c r="I93" s="30"/>
      <c r="J93" s="34"/>
      <c r="K93" s="34"/>
      <c r="L93" s="30"/>
      <c r="M93" s="30"/>
      <c r="N93" s="30"/>
      <c r="O93" s="30"/>
      <c r="P93" s="30"/>
      <c r="Q93" s="30"/>
      <c r="R93" s="30"/>
    </row>
    <row r="94" spans="1:18" ht="13.5" customHeight="1">
      <c r="A94" s="30"/>
      <c r="B94" s="30"/>
      <c r="C94" s="30"/>
      <c r="D94" s="31"/>
      <c r="E94" s="30"/>
      <c r="F94" s="30"/>
      <c r="G94" s="30"/>
      <c r="H94" s="30"/>
      <c r="I94" s="30"/>
      <c r="J94" s="34"/>
      <c r="K94" s="34"/>
      <c r="L94" s="30"/>
      <c r="M94" s="30"/>
      <c r="N94" s="30"/>
      <c r="O94" s="30"/>
      <c r="P94" s="30"/>
      <c r="Q94" s="30"/>
      <c r="R94" s="30"/>
    </row>
    <row r="95" spans="1:18" ht="13.5" customHeight="1">
      <c r="A95" s="30"/>
      <c r="B95" s="30"/>
      <c r="C95" s="30"/>
      <c r="D95" s="31"/>
      <c r="E95" s="30"/>
      <c r="F95" s="30"/>
      <c r="G95" s="30"/>
      <c r="H95" s="30"/>
      <c r="I95" s="30"/>
      <c r="J95" s="34"/>
      <c r="K95" s="34"/>
      <c r="L95" s="30"/>
      <c r="M95" s="30"/>
      <c r="N95" s="30"/>
      <c r="O95" s="30"/>
      <c r="P95" s="30"/>
      <c r="Q95" s="30"/>
      <c r="R95" s="30"/>
    </row>
    <row r="96" spans="1:18" ht="13.5" customHeight="1">
      <c r="A96" s="30"/>
      <c r="B96" s="30"/>
      <c r="C96" s="30"/>
      <c r="D96" s="31"/>
      <c r="E96" s="30"/>
      <c r="F96" s="30"/>
      <c r="G96" s="30"/>
      <c r="H96" s="30"/>
      <c r="I96" s="30"/>
      <c r="J96" s="34"/>
      <c r="K96" s="34"/>
      <c r="L96" s="30"/>
      <c r="M96" s="30"/>
      <c r="N96" s="30"/>
      <c r="O96" s="30"/>
      <c r="P96" s="30"/>
      <c r="Q96" s="30"/>
      <c r="R96" s="30"/>
    </row>
    <row r="97" spans="1:18" ht="13.5" customHeight="1">
      <c r="A97" s="30"/>
      <c r="B97" s="30"/>
      <c r="C97" s="30"/>
      <c r="D97" s="31"/>
      <c r="E97" s="30"/>
      <c r="F97" s="30"/>
      <c r="G97" s="30"/>
      <c r="H97" s="30"/>
      <c r="I97" s="30"/>
      <c r="J97" s="34"/>
      <c r="K97" s="34"/>
      <c r="L97" s="30"/>
      <c r="M97" s="30"/>
      <c r="N97" s="30"/>
      <c r="O97" s="30"/>
      <c r="P97" s="30"/>
      <c r="Q97" s="30"/>
      <c r="R97" s="30"/>
    </row>
    <row r="98" spans="1:18" ht="13.5" customHeight="1">
      <c r="A98" s="30"/>
      <c r="B98" s="30"/>
      <c r="C98" s="30"/>
      <c r="D98" s="31"/>
      <c r="E98" s="30"/>
      <c r="F98" s="30"/>
      <c r="G98" s="30"/>
      <c r="H98" s="30"/>
      <c r="I98" s="30"/>
      <c r="J98" s="34"/>
      <c r="K98" s="34"/>
      <c r="L98" s="30"/>
      <c r="M98" s="30"/>
      <c r="N98" s="30"/>
      <c r="O98" s="30"/>
      <c r="P98" s="30"/>
      <c r="Q98" s="30"/>
      <c r="R98" s="30"/>
    </row>
    <row r="99" spans="1:18" ht="13.5" customHeight="1">
      <c r="A99" s="30"/>
      <c r="B99" s="30"/>
      <c r="C99" s="30"/>
      <c r="D99" s="31"/>
      <c r="E99" s="30"/>
      <c r="F99" s="30"/>
      <c r="G99" s="30"/>
      <c r="H99" s="30"/>
      <c r="I99" s="30"/>
      <c r="J99" s="34"/>
      <c r="K99" s="34"/>
      <c r="L99" s="30"/>
      <c r="M99" s="30"/>
      <c r="N99" s="30"/>
      <c r="O99" s="30"/>
      <c r="P99" s="30"/>
      <c r="Q99" s="30"/>
      <c r="R99" s="30"/>
    </row>
    <row r="100" spans="1:18" ht="13.5" customHeight="1">
      <c r="A100" s="30"/>
      <c r="B100" s="30"/>
      <c r="C100" s="30"/>
      <c r="D100" s="31"/>
      <c r="E100" s="30"/>
      <c r="F100" s="30"/>
      <c r="G100" s="30"/>
      <c r="H100" s="30"/>
      <c r="I100" s="30"/>
      <c r="J100" s="34"/>
      <c r="K100" s="34"/>
      <c r="L100" s="30"/>
      <c r="M100" s="30"/>
      <c r="N100" s="30"/>
      <c r="O100" s="30"/>
      <c r="P100" s="30"/>
      <c r="Q100" s="30"/>
      <c r="R100" s="30"/>
    </row>
  </sheetData>
  <sortState xmlns:xlrd2="http://schemas.microsoft.com/office/spreadsheetml/2017/richdata2" ref="A2:L31">
    <sortCondition descending="1" ref="L2:L31"/>
  </sortState>
  <mergeCells count="4">
    <mergeCell ref="J38:K39"/>
    <mergeCell ref="O1:O2"/>
    <mergeCell ref="P1:P2"/>
    <mergeCell ref="A35:B35"/>
  </mergeCells>
  <conditionalFormatting sqref="A2:J31 L2:L31">
    <cfRule type="expression" dxfId="23" priority="7">
      <formula>$L3&gt;100000</formula>
    </cfRule>
  </conditionalFormatting>
  <conditionalFormatting sqref="B36:B48">
    <cfRule type="top10" dxfId="22" priority="8" rank="1"/>
  </conditionalFormatting>
  <conditionalFormatting sqref="J2:J31">
    <cfRule type="expression" dxfId="21" priority="9">
      <formula>$J2&gt;0.4</formula>
    </cfRule>
    <cfRule type="expression" dxfId="20" priority="10">
      <formula>$J2&lt;0.4</formula>
    </cfRule>
  </conditionalFormatting>
  <conditionalFormatting sqref="K2:K31">
    <cfRule type="cellIs" dxfId="19" priority="5" operator="equal">
      <formula>"No"</formula>
    </cfRule>
    <cfRule type="cellIs" dxfId="18" priority="6" operator="equal">
      <formula>"Yes"</formula>
    </cfRule>
  </conditionalFormatting>
  <conditionalFormatting sqref="M1:M31">
    <cfRule type="expression" dxfId="17" priority="2">
      <formula>$M2="Low"</formula>
    </cfRule>
    <cfRule type="expression" dxfId="16" priority="3">
      <formula>$M2="Medium"</formula>
    </cfRule>
    <cfRule type="expression" dxfId="15" priority="4">
      <formula>$M2="High"</formula>
    </cfRule>
  </conditionalFormatting>
  <conditionalFormatting sqref="K40:K52">
    <cfRule type="top10" dxfId="14" priority="1" rank="1"/>
  </conditionalFormatting>
  <pageMargins left="0.7" right="0.7" top="0.75" bottom="0.75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C60B-1FD8-445C-8CF0-EEFF4CACB856}">
  <dimension ref="A1:C40"/>
  <sheetViews>
    <sheetView topLeftCell="A12" workbookViewId="0">
      <selection activeCell="A31" sqref="A31"/>
    </sheetView>
  </sheetViews>
  <sheetFormatPr defaultRowHeight="14.4"/>
  <cols>
    <col min="1" max="1" width="104.21875" bestFit="1" customWidth="1"/>
    <col min="3" max="3" width="74.6640625" customWidth="1"/>
  </cols>
  <sheetData>
    <row r="1" spans="1:3">
      <c r="A1" s="1" t="s">
        <v>16</v>
      </c>
      <c r="B1" s="2"/>
      <c r="C1" s="2"/>
    </row>
    <row r="2" spans="1:3">
      <c r="A2" s="9" t="s">
        <v>79</v>
      </c>
    </row>
    <row r="4" spans="1:3">
      <c r="A4" s="13" t="s">
        <v>21</v>
      </c>
      <c r="B4" s="14"/>
      <c r="C4" s="15"/>
    </row>
    <row r="5" spans="1:3">
      <c r="A5" s="9" t="s">
        <v>80</v>
      </c>
    </row>
    <row r="7" spans="1:3">
      <c r="A7" s="13" t="s">
        <v>26</v>
      </c>
      <c r="B7" s="14"/>
      <c r="C7" s="15"/>
    </row>
    <row r="8" spans="1:3">
      <c r="A8" s="9" t="s">
        <v>81</v>
      </c>
    </row>
    <row r="10" spans="1:3">
      <c r="A10" s="13" t="s">
        <v>28</v>
      </c>
      <c r="B10" s="14"/>
      <c r="C10" s="15"/>
    </row>
    <row r="11" spans="1:3">
      <c r="A11" s="9" t="s">
        <v>84</v>
      </c>
    </row>
    <row r="13" spans="1:3">
      <c r="A13" s="13" t="s">
        <v>90</v>
      </c>
      <c r="B13" s="14"/>
      <c r="C13" s="15"/>
    </row>
    <row r="14" spans="1:3">
      <c r="A14" s="12" t="s">
        <v>98</v>
      </c>
      <c r="B14" s="4"/>
      <c r="C14" s="4"/>
    </row>
    <row r="15" spans="1:3">
      <c r="A15" s="4"/>
      <c r="B15" s="4"/>
      <c r="C15" s="4"/>
    </row>
    <row r="16" spans="1:3">
      <c r="A16" s="13" t="s">
        <v>91</v>
      </c>
      <c r="B16" s="14"/>
      <c r="C16" s="15"/>
    </row>
    <row r="17" spans="1:3">
      <c r="A17" s="12" t="s">
        <v>99</v>
      </c>
      <c r="B17" s="4"/>
      <c r="C17" s="4"/>
    </row>
    <row r="18" spans="1:3">
      <c r="A18" s="4"/>
      <c r="B18" s="4"/>
      <c r="C18" s="4"/>
    </row>
    <row r="19" spans="1:3">
      <c r="A19" s="13" t="s">
        <v>92</v>
      </c>
      <c r="B19" s="14"/>
      <c r="C19" s="15"/>
    </row>
    <row r="20" spans="1:3">
      <c r="A20" s="9" t="s">
        <v>100</v>
      </c>
    </row>
    <row r="22" spans="1:3">
      <c r="A22" s="10" t="s">
        <v>93</v>
      </c>
    </row>
    <row r="23" spans="1:3">
      <c r="A23" s="7" t="s">
        <v>37</v>
      </c>
    </row>
    <row r="24" spans="1:3">
      <c r="A24" s="5" t="s">
        <v>39</v>
      </c>
      <c r="B24" s="6"/>
      <c r="C24" s="3"/>
    </row>
    <row r="25" spans="1:3">
      <c r="A25" s="8" t="s">
        <v>41</v>
      </c>
      <c r="B25" s="4"/>
      <c r="C25" s="4"/>
    </row>
    <row r="26" spans="1:3">
      <c r="A26" s="5" t="s">
        <v>43</v>
      </c>
      <c r="B26" s="4"/>
      <c r="C26" s="4"/>
    </row>
    <row r="27" spans="1:3">
      <c r="A27" s="11" t="s">
        <v>96</v>
      </c>
      <c r="B27" s="4"/>
      <c r="C27" s="4"/>
    </row>
    <row r="28" spans="1:3">
      <c r="B28" s="4"/>
      <c r="C28" s="4"/>
    </row>
    <row r="29" spans="1:3">
      <c r="A29" s="10" t="s">
        <v>94</v>
      </c>
      <c r="B29" s="4"/>
      <c r="C29" s="4"/>
    </row>
    <row r="30" spans="1:3">
      <c r="A30" s="12" t="s">
        <v>97</v>
      </c>
      <c r="B30" s="4"/>
      <c r="C30" s="4"/>
    </row>
    <row r="31" spans="1:3">
      <c r="B31" s="4"/>
      <c r="C31" s="4"/>
    </row>
    <row r="32" spans="1:3">
      <c r="A32" s="4"/>
      <c r="B32" s="4"/>
      <c r="C32" s="4"/>
    </row>
    <row r="33" spans="1:3">
      <c r="A33" s="4"/>
      <c r="B33" s="4"/>
      <c r="C33" s="4"/>
    </row>
    <row r="34" spans="1:3">
      <c r="A34" s="4"/>
      <c r="B34" s="4"/>
      <c r="C34" s="4"/>
    </row>
    <row r="35" spans="1:3">
      <c r="A35" s="4"/>
      <c r="B35" s="4"/>
      <c r="C35" s="4"/>
    </row>
    <row r="36" spans="1:3">
      <c r="A36" s="4"/>
      <c r="B36" s="4"/>
      <c r="C36" s="4"/>
    </row>
    <row r="37" spans="1:3">
      <c r="A37" s="4"/>
      <c r="B37" s="4"/>
      <c r="C37" s="4"/>
    </row>
    <row r="38" spans="1:3">
      <c r="A38" s="4"/>
      <c r="B38" s="4"/>
      <c r="C38" s="4"/>
    </row>
    <row r="39" spans="1:3">
      <c r="A39" s="4"/>
      <c r="B39" s="4"/>
      <c r="C39" s="4"/>
    </row>
    <row r="40" spans="1:3">
      <c r="A40" s="4"/>
      <c r="B40" s="4"/>
      <c r="C40" s="4"/>
    </row>
  </sheetData>
  <mergeCells count="6">
    <mergeCell ref="A19:C19"/>
    <mergeCell ref="A4:C4"/>
    <mergeCell ref="A7:C7"/>
    <mergeCell ref="A10:C10"/>
    <mergeCell ref="A13:C13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</vt:lpstr>
      <vt:lpstr>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Purva Datir</cp:lastModifiedBy>
  <dcterms:created xsi:type="dcterms:W3CDTF">2025-08-29T06:14:00Z</dcterms:created>
  <dcterms:modified xsi:type="dcterms:W3CDTF">2025-08-31T20:13:02Z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5E8E04908E4144658ACFE73C9176BE2A_12</vt:lpwstr>
  </property>
  <property fmtid="{D5CDD505-2E9C-101B-9397-08002B2CF9AE}" pid="3" name="KSOProductBuildVer">
    <vt:lpwstr>1033-12.2.0.22549</vt:lpwstr>
  </property>
</Properties>
</file>